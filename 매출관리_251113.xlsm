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8D42C8F-1424-4858-9096-3410DD14FAF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4" i="4" l="1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<sst xmlns="http://schemas.openxmlformats.org/spreadsheetml/2006/main" count="12480" uniqueCount="4340">
  <si>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</si>
  <si>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</si>
  <si>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</si>
  <si>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</si>
  <si>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</si>
  <si>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</si>
  <si>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</si>
  <si>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</si>
  <si>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</si>
  <si>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</si>
  <si>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</si>
  <si>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</si>
  <si>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</si>
  <si>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</si>
  <si>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</si>
  <si>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</si>
  <si>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</si>
  <si>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</si>
  <si>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</si>
  <si>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</si>
  <si>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</si>
  <si>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</si>
  <si>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</si>
  <si>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</si>
  <si>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</si>
  <si>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</si>
  <si>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</si>
  <si>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</si>
  <si>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</si>
  <si>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</si>
  <si>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</si>
  <si>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</si>
  <si>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</si>
  <si>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</si>
  <si>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</si>
  <si>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</si>
  <si>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</si>
  <si>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</si>
  <si>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</si>
  <si>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</si>
  <si>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</si>
  <si>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</si>
  <si>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</si>
  <si>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</si>
  <si>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</si>
  <si>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</si>
  <si>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</si>
  <si>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</si>
  <si>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</si>
  <si>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</si>
  <si>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</si>
  <si>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</si>
  <si>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</si>
  <si>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</si>
  <si>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</si>
  <si>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</si>
  <si>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</si>
  <si>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</si>
  <si>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</si>
  <si>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</si>
  <si>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</si>
  <si>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</si>
  <si>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</si>
  <si>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</si>
  <si>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</si>
  <si>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</si>
  <si>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</si>
  <si>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</si>
  <si>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</si>
  <si>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</si>
  <si>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</si>
  <si>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</si>
  <si>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</si>
  <si>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</si>
  <si>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</si>
  <si>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</si>
  <si>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</si>
  <si>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</si>
  <si>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</si>
  <si>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</si>
  <si>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</si>
  <si>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</si>
  <si>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</si>
  <si>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</si>
  <si>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</si>
  <si>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</si>
  <si>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</si>
  <si>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</si>
  <si>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</si>
  <si>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</si>
  <si>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</si>
  <si>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</si>
  <si>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</si>
  <si>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</si>
  <si>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</si>
  <si>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</si>
  <si>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</si>
  <si>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</si>
  <si>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</si>
  <si>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</si>
  <si>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</si>
  <si>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</si>
  <si>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</si>
  <si>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</si>
  <si>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</si>
  <si>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</si>
  <si>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</si>
  <si>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</si>
  <si>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</si>
  <si>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</si>
  <si>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</si>
  <si>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</si>
  <si>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</si>
  <si>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</si>
  <si>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</si>
  <si>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</si>
  <si>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</si>
  <si>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</si>
  <si>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</si>
  <si>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</si>
  <si>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</si>
  <si>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</si>
  <si>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</si>
  <si>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</si>
  <si>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</si>
  <si>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</si>
  <si>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</si>
  <si>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</si>
  <si>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</si>
  <si>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</si>
  <si>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</si>
  <si>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</si>
  <si>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</si>
  <si>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</si>
  <si>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</si>
  <si>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</si>
  <si>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</si>
  <si>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</si>
  <si>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</si>
  <si>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</si>
  <si>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</si>
  <si>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</si>
  <si>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</si>
  <si>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</si>
  <si>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</si>
  <si>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</si>
  <si>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</si>
  <si>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</si>
  <si>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</si>
  <si>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</si>
  <si>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</si>
  <si>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</si>
  <si>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</si>
  <si>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</si>
  <si>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</si>
  <si>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</si>
  <si>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</si>
  <si>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</si>
  <si>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</si>
  <si>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</si>
  <si>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</si>
  <si>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</si>
  <si>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</si>
  <si>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</si>
  <si>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</si>
  <si>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</si>
  <si>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</si>
  <si>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</si>
  <si>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</si>
  <si>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</si>
  <si>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</si>
  <si>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</si>
  <si>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</si>
  <si>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</si>
  <si>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</si>
  <si>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</si>
  <si>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</si>
  <si>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</si>
  <si>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</si>
  <si>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</si>
  <si>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</si>
  <si>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</si>
  <si>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</si>
  <si>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</si>
  <si>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</si>
  <si>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</si>
  <si>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</si>
  <si>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</si>
  <si>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</si>
  <si>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</si>
  <si>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</si>
  <si>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</si>
  <si>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</si>
  <si>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</si>
  <si>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</si>
  <si>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</si>
  <si>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</si>
  <si>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</si>
  <si>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</si>
  <si>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</si>
  <si>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</si>
  <si>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</si>
  <si>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</si>
  <si>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</si>
  <si>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</si>
  <si>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</si>
  <si>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</si>
  <si>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</si>
  <si>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</si>
  <si>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</si>
  <si>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</si>
  <si>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</si>
  <si>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</si>
  <si>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</si>
  <si>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</si>
  <si>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</si>
  <si>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</si>
  <si>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</si>
  <si>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</si>
  <si>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</si>
  <si>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</si>
  <si>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</si>
  <si>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</si>
  <si>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</si>
  <si>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</si>
  <si>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</si>
  <si>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</si>
  <si>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</si>
  <si>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</si>
  <si>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</si>
  <si>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</si>
  <si>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</si>
  <si>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</si>
  <si>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</si>
  <si>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</si>
  <si>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</si>
  <si>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</si>
  <si>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</si>
  <si>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</si>
  <si>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</si>
  <si>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</si>
  <si>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</si>
  <si>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</si>
  <si>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</si>
  <si>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</si>
  <si>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</si>
  <si>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</si>
  <si>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</si>
  <si>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</si>
  <si>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</si>
  <si>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</si>
  <si>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</si>
  <si>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</si>
  <si>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</si>
  <si>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</si>
  <si>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</si>
  <si>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</si>
  <si>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</si>
  <si>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</si>
  <si>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</si>
  <si>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</si>
  <si>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</si>
  <si>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</si>
  <si>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</si>
  <si>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</si>
  <si>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</si>
  <si>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</si>
  <si>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</si>
  <si>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</si>
  <si>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</si>
  <si>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</si>
  <si>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</si>
  <si>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</si>
  <si>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</si>
  <si>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</si>
  <si>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</si>
  <si>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</si>
  <si>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</si>
  <si>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</si>
  <si>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</si>
  <si>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</si>
  <si>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</si>
  <si>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</si>
  <si>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</si>
  <si>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</si>
  <si>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</si>
  <si>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</si>
  <si>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</si>
  <si>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</si>
  <si>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</si>
  <si>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</si>
  <si>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</si>
  <si>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</si>
  <si>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</si>
  <si>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</si>
  <si>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</si>
  <si>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</si>
  <si>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</si>
  <si>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</si>
  <si>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</si>
  <si>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</si>
  <si>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</si>
  <si>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</si>
  <si>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</si>
  <si>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</si>
  <si>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</si>
  <si>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</si>
  <si>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</si>
  <si>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</si>
  <si>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</si>
  <si>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</si>
  <si>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</si>
  <si>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</si>
  <si>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</si>
  <si>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</si>
  <si>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</si>
  <si>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</si>
  <si>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</si>
  <si>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</si>
  <si>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</si>
  <si>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</si>
  <si>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</si>
  <si>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</si>
  <si>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</si>
  <si>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</si>
  <si>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</si>
  <si>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</si>
  <si>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</si>
  <si>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</si>
  <si>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</si>
  <si>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</si>
  <si>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</si>
  <si>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</si>
  <si>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</si>
  <si>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</si>
  <si>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</si>
  <si>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</si>
  <si>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</si>
  <si>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</si>
  <si>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</si>
  <si>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</si>
  <si>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</si>
  <si>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</si>
  <si>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</si>
  <si>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</si>
  <si>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</si>
  <si>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</si>
  <si>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</si>
  <si>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</si>
  <si>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</si>
  <si>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</si>
  <si>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</si>
  <si>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</si>
  <si>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</si>
  <si>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</si>
  <si>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</si>
  <si>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</si>
  <si>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</si>
  <si>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</si>
  <si>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</si>
  <si>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</si>
  <si>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</si>
  <si>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</si>
  <si>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</si>
  <si>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</si>
  <si>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</si>
  <si>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</si>
  <si>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</si>
  <si>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</si>
  <si>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</si>
  <si>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</si>
  <si>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</si>
  <si>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</si>
  <si>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</si>
  <si>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</si>
  <si>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</si>
  <si>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</si>
  <si>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</si>
  <si>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</si>
  <si>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</si>
  <si>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</si>
  <si>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</si>
  <si>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</si>
  <si>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</si>
  <si>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</si>
  <si>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</si>
  <si>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</si>
  <si>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</si>
  <si>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</si>
  <si>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</si>
  <si>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</si>
  <si>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</si>
  <si>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</si>
  <si>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</si>
  <si>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</si>
  <si>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</si>
  <si>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</si>
  <si>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</si>
  <si>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</si>
  <si>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</si>
  <si>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</si>
  <si>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</si>
  <si>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</si>
  <si>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</si>
  <si>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</si>
  <si>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</si>
  <si>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</si>
  <si>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</si>
  <si>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</si>
  <si>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</si>
  <si>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</si>
  <si>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</si>
  <si>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</si>
  <si>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</si>
  <si>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</si>
  <si>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</si>
  <si>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</si>
  <si>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</si>
  <si>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</si>
  <si>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</si>
  <si>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</si>
  <si>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</si>
  <si>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</si>
  <si>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</si>
  <si>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</si>
  <si>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</si>
  <si>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</si>
  <si>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</si>
  <si>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</si>
  <si>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</si>
  <si>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</si>
  <si>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</si>
  <si>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</si>
  <si>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</si>
  <si>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</si>
  <si>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</si>
  <si>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</si>
  <si>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</si>
  <si>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</si>
  <si>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</si>
  <si>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</si>
  <si>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</si>
  <si>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</si>
  <si>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</si>
  <si>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</si>
  <si>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</si>
  <si>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</si>
  <si>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</si>
  <si>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</si>
  <si>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</si>
  <si>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</si>
  <si>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</si>
  <si>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</si>
  <si>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</si>
  <si>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</si>
  <si>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</si>
  <si>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</si>
  <si>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</si>
  <si>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</si>
  <si>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</si>
  <si>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</si>
  <si>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</si>
  <si>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</si>
  <si>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</si>
  <si>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</si>
  <si>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</si>
  <si>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</si>
  <si>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</si>
  <si>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</si>
  <si>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</si>
  <si>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</si>
  <si>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</si>
  <si>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</si>
  <si>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</si>
  <si>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</si>
  <si>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</si>
  <si>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</si>
  <si>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</si>
  <si>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</si>
  <si>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</si>
  <si>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</si>
  <si>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</si>
  <si>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</si>
  <si>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</si>
  <si>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</si>
  <si>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</si>
  <si>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</si>
  <si>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</si>
  <si>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</si>
  <si>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</si>
  <si>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</si>
  <si>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</si>
  <si>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</si>
  <si>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</si>
  <si>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</si>
  <si>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</si>
  <si>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</si>
  <si>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</si>
  <si>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</si>
  <si>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</si>
  <si>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</si>
  <si>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</si>
  <si>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</si>
  <si>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</si>
  <si>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</si>
  <si>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</si>
  <si>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</si>
  <si>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</si>
  <si>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</si>
  <si>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</si>
  <si>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</si>
  <si>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</si>
  <si>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</si>
  <si>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</si>
  <si>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</si>
  <si>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</si>
  <si>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</si>
  <si>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</si>
  <si>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</si>
  <si>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</si>
  <si>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</si>
  <si>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</si>
  <si>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</si>
  <si>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</si>
  <si>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</si>
  <si>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</si>
  <si>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</si>
  <si>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</si>
  <si>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</si>
  <si>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</si>
  <si>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</si>
  <si>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</si>
  <si>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</si>
  <si>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</si>
  <si>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</si>
  <si>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</si>
  <si>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</si>
  <si>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</si>
  <si>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</si>
  <si>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</si>
  <si>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</si>
  <si>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</si>
  <si>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</si>
  <si>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</si>
  <si>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</si>
  <si>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</si>
  <si>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</si>
  <si>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</si>
  <si>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</si>
  <si>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</si>
  <si>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</si>
  <si>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</si>
  <si>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</si>
  <si>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</si>
  <si>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</si>
  <si>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</si>
  <si>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</si>
  <si>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</si>
  <si>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</si>
  <si>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</si>
  <si>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</si>
  <si>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</si>
  <si>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</si>
  <si>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</si>
  <si>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</si>
  <si>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</si>
  <si>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</si>
  <si>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</si>
  <si>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</si>
  <si>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</si>
  <si>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</si>
  <si>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</si>
  <si>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</si>
  <si>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</si>
  <si>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</si>
  <si>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</si>
  <si>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</si>
  <si>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</si>
  <si>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</si>
  <si>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</si>
  <si>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</si>
  <si>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</si>
  <si>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</si>
  <si>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</si>
  <si>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</si>
  <si>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</si>
  <si>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</si>
  <si>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</si>
  <si>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</si>
  <si>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</si>
  <si>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</si>
  <si>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</si>
  <si>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</si>
  <si>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</si>
  <si>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</si>
  <si>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</si>
  <si>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</si>
  <si>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</si>
  <si>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</si>
  <si>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</si>
  <si>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</si>
  <si>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</si>
  <si>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</si>
  <si>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</si>
  <si>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</si>
  <si>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</si>
  <si>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</si>
  <si>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</si>
  <si>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</si>
  <si>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</si>
  <si>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</si>
  <si>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</si>
  <si>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</si>
  <si>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</si>
  <si>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</si>
  <si>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</si>
  <si>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</si>
  <si>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</si>
  <si>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</si>
  <si>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</si>
  <si>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</si>
  <si>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</si>
  <si>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</si>
  <si>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</si>
  <si>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</si>
  <si>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</si>
  <si>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</si>
  <si>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</si>
  <si>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</si>
  <si>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</si>
  <si>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</si>
  <si>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</si>
  <si>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</si>
  <si>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</si>
  <si>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</si>
  <si>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</si>
  <si>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</si>
  <si>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</si>
  <si>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</si>
  <si>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</si>
  <si>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</si>
  <si>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</si>
  <si>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</si>
  <si>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</si>
  <si>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</si>
  <si>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</si>
  <si>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</si>
  <si>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</si>
  <si>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</si>
  <si>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</si>
  <si>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</si>
  <si>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</si>
  <si>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</si>
  <si>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</si>
  <si>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</si>
  <si>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</si>
  <si>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</si>
  <si>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</si>
  <si>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</si>
  <si>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</si>
  <si>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</si>
  <si>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</si>
  <si>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</si>
  <si>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</si>
  <si>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</si>
  <si>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</si>
  <si>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</si>
  <si>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</si>
  <si>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</si>
  <si>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</si>
  <si>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</si>
  <si>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</si>
  <si>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</si>
  <si>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</si>
  <si>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</si>
  <si>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</si>
  <si>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</si>
  <si>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</si>
  <si>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</si>
  <si>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</si>
  <si>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</si>
  <si>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</si>
  <si>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</si>
  <si>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</si>
  <si>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</si>
  <si>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</si>
  <si>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</si>
  <si>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</si>
  <si>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</si>
  <si>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</si>
  <si>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</si>
  <si>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</si>
  <si>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</si>
  <si>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</si>
  <si>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</si>
  <si>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</si>
  <si>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</si>
  <si>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</si>
  <si>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</si>
  <si>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</si>
  <si>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</si>
  <si>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</si>
  <si>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</si>
  <si>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</si>
  <si>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</si>
  <si>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</si>
  <si>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</si>
  <si>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</si>
  <si>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</si>
  <si>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</si>
  <si>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</si>
  <si>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</si>
  <si>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</si>
  <si>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</si>
  <si>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</si>
  <si>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</si>
  <si>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</si>
  <si>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</si>
  <si>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</si>
  <si>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</si>
  <si>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</si>
  <si>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</si>
  <si>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</si>
  <si>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</si>
  <si>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</si>
  <si>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</si>
  <si>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</si>
  <si>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</si>
  <si>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</si>
  <si>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</si>
  <si>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</si>
  <si>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</si>
  <si>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</si>
  <si>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</si>
  <si>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</si>
  <si>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</si>
  <si>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</si>
  <si>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</si>
  <si>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</si>
  <si>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</si>
  <si>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</si>
  <si>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</si>
  <si>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</si>
  <si>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</si>
  <si>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</si>
  <si>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</si>
  <si>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</si>
  <si>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</si>
  <si>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</si>
  <si>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</si>
  <si>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</si>
  <si>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</si>
  <si>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</si>
  <si>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</si>
  <si>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</si>
  <si>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</si>
  <si>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</si>
  <si>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</si>
  <si>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</si>
  <si>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</si>
  <si>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</si>
  <si>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</si>
  <si>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</si>
  <si>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</si>
  <si>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</si>
  <si>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</si>
  <si>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</si>
  <si>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</si>
  <si>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</si>
  <si>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</si>
  <si>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</si>
  <si>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</si>
  <si>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</si>
  <si>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</si>
  <si>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</si>
  <si>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</si>
  <si>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</si>
  <si>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</si>
  <si>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</si>
  <si>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</si>
  <si>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</si>
  <si>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</si>
  <si>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</si>
  <si>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</si>
  <si>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</si>
  <si>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</si>
  <si>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</si>
  <si>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</si>
  <si>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</si>
  <si>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</si>
  <si>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</si>
  <si>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</si>
  <si>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</si>
  <si>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</si>
  <si>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</si>
  <si>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</si>
  <si>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</si>
  <si>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</si>
  <si>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</si>
  <si>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</si>
  <si>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</si>
  <si>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</si>
  <si>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</si>
  <si>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</si>
  <si>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</si>
  <si>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</si>
  <si>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</si>
  <si>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</si>
  <si>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</si>
  <si>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</si>
  <si>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</si>
  <si>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</si>
  <si>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</si>
  <si>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</si>
  <si>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</si>
  <si>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</si>
  <si>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</si>
  <si>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</si>
  <si>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</si>
  <si>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</si>
  <si>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</si>
  <si>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</si>
  <si>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</si>
  <si>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</si>
  <si>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</si>
  <si>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</si>
  <si>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</si>
  <si>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</si>
  <si>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</si>
  <si>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</si>
  <si>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</si>
  <si>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</si>
  <si>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</si>
  <si>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</si>
  <si>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</si>
  <si>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</si>
  <si>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</si>
  <si>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</si>
  <si>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</si>
  <si>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</si>
  <si>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</si>
  <si>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</si>
  <si>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</si>
  <si>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</si>
  <si>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</si>
  <si>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</si>
  <si>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</si>
  <si>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</si>
  <si>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</si>
  <si>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</si>
  <si>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</si>
  <si>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</si>
  <si>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</si>
  <si>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</si>
  <si>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</si>
  <si>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</si>
  <si>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</si>
  <si>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</si>
  <si>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</si>
  <si>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</si>
  <si>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</si>
  <si>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</si>
  <si>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</si>
  <si>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</si>
  <si>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</si>
  <si>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</si>
  <si>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</si>
  <si>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</si>
  <si>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</si>
  <si>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</si>
  <si>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</si>
  <si>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</si>
  <si>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</si>
  <si>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</si>
  <si>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</si>
  <si>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</si>
  <si>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</si>
  <si>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</si>
  <si>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</si>
  <si>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</si>
  <si>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</si>
  <si>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</si>
  <si>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</si>
  <si>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</si>
  <si>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</si>
  <si>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</si>
  <si>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</si>
  <si>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</si>
  <si>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</si>
  <si>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</si>
  <si>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</si>
  <si>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</si>
  <si>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</si>
  <si>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</si>
  <si>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</si>
  <si>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</si>
  <si>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</si>
  <si>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</si>
  <si>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</si>
  <si>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</si>
  <si>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</si>
  <si>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</si>
  <si>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</si>
  <si>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</si>
  <si>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</si>
  <si>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</si>
  <si>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</si>
  <si>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</si>
  <si>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</si>
  <si>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</si>
  <si>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</si>
  <si>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</si>
  <si>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</si>
  <si>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</si>
  <si>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</si>
  <si>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</si>
  <si>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</si>
  <si>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</si>
  <si>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</si>
  <si>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</si>
  <si>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</si>
  <si>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</si>
  <si>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</si>
  <si>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</si>
  <si>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</si>
  <si>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</si>
  <si>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</si>
  <si>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</si>
  <si>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</si>
  <si>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</si>
  <si>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</si>
  <si>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</si>
  <si>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</si>
  <si>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</si>
  <si>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</si>
  <si>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</si>
  <si>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</si>
  <si>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</si>
  <si>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</si>
  <si>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</si>
  <si>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</si>
  <si>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</si>
  <si>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</si>
  <si>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</si>
  <si>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</si>
  <si>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</si>
  <si>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</si>
  <si>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</si>
  <si>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</si>
  <si>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</si>
  <si>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</si>
  <si>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</si>
  <si>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</si>
  <si>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</si>
  <si>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</si>
  <si>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</si>
  <si>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</si>
  <si>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</si>
  <si>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</si>
  <si>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</si>
  <si>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</si>
  <si>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</si>
  <si>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</si>
  <si>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</si>
  <si>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</si>
  <si>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</si>
  <si>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</si>
  <si>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</si>
  <si>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</si>
  <si>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</si>
  <si>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</si>
  <si>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</si>
  <si>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</si>
  <si>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</si>
  <si>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</si>
  <si>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</si>
  <si>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</si>
  <si>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</si>
  <si>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</si>
  <si>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</si>
  <si>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</si>
  <si>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</si>
  <si>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</si>
  <si>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</si>
  <si>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</si>
  <si>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</si>
  <si>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</si>
  <si>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</si>
  <si>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</si>
  <si>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</si>
  <si>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</si>
  <si>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</si>
  <si>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</si>
  <si>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</si>
  <si>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</si>
  <si>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</si>
  <si>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</si>
  <si>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</si>
  <si>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</si>
  <si>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</si>
  <si>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</si>
  <si>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</si>
  <si>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</si>
  <si>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</si>
  <si>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</si>
  <si>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</si>
  <si>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</si>
  <si>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</si>
  <si>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</si>
  <si>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</si>
  <si>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</si>
  <si>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</si>
  <si>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</si>
  <si>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</si>
  <si>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</si>
  <si>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</si>
  <si>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</si>
  <si>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</si>
  <si>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</si>
  <si>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</si>
  <si>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</si>
  <si>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</si>
  <si>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</si>
  <si>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</si>
  <si>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</si>
  <si>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</si>
  <si>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</si>
  <si>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</si>
  <si>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</si>
  <si>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</si>
  <si>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</si>
  <si>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</si>
  <si>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</si>
  <si>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</si>
  <si>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</si>
  <si>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</si>
  <si>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</si>
  <si>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</si>
  <si>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</si>
  <si>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</si>
  <si>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</si>
  <si>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</si>
  <si>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</si>
  <si>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</si>
  <si>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</si>
  <si>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</si>
  <si>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</si>
  <si>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</si>
  <si>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</si>
  <si>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</si>
  <si>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</si>
  <si>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</si>
  <si>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</si>
  <si>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</si>
  <si>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</si>
  <si>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</si>
  <si>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</si>
  <si>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</si>
  <si>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</si>
  <si>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</si>
  <si>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</si>
  <si>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</si>
  <si>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</si>
  <si>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</si>
  <si>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</si>
  <si>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</si>
  <si>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</si>
  <si>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</si>
  <si>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</si>
  <si>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</si>
  <si>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</si>
  <si>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</si>
  <si>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</si>
  <si>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</si>
  <si>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</si>
  <si>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</si>
  <si>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</si>
  <si>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</si>
  <si>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</si>
  <si>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</si>
  <si>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</si>
  <si>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</si>
  <si>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</si>
  <si>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</si>
  <si>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</si>
  <si>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</si>
  <si>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</si>
  <si>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</si>
  <si>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</si>
  <si>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</si>
  <si>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</si>
  <si>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</si>
  <si>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</si>
  <si>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</si>
  <si>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</si>
  <si>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</si>
  <si>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</si>
  <si>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</si>
  <si>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</si>
  <si>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</si>
  <si>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</si>
  <si>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</si>
  <si>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</si>
  <si>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</si>
  <si>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</si>
  <si>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</si>
  <si>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</si>
  <si>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</si>
  <si>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</si>
  <si>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</si>
  <si>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</si>
  <si>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</si>
  <si>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</si>
  <si>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</si>
  <si>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</si>
  <si>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</si>
  <si>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</si>
  <si>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</si>
  <si>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</si>
  <si>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</si>
  <si>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</si>
  <si>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</si>
  <si>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</si>
  <si>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</si>
  <si>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</si>
  <si>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</si>
  <si>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</si>
  <si>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</si>
  <si>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</si>
  <si>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</si>
  <si>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</si>
  <si>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</si>
  <si>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</si>
  <si>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</si>
  <si>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</si>
  <si>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</si>
  <si>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</si>
  <si>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</si>
  <si>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</si>
  <si>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</si>
  <si>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</si>
  <si>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</si>
  <si>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</si>
  <si>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</si>
  <si>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</si>
  <si>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</si>
  <si>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</si>
  <si>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</si>
  <si>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</si>
  <si>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</si>
  <si>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</si>
  <si>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</si>
  <si>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</si>
  <si>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</si>
  <si>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</si>
  <si>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</si>
  <si>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</si>
  <si>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</si>
  <si>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</si>
  <si>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</si>
  <si>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</si>
  <si>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</si>
  <si>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</si>
  <si>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</si>
  <si>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</si>
  <si>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</si>
  <si>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</si>
  <si>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</si>
  <si>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</si>
  <si>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</si>
  <si>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</si>
  <si>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</si>
  <si>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</si>
  <si>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</si>
  <si>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</si>
  <si>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</si>
  <si>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</si>
  <si>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</si>
  <si>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</si>
  <si>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</si>
  <si>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</si>
  <si>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</si>
  <si>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</si>
  <si>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</si>
  <si>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</si>
  <si>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</si>
  <si>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</si>
  <si>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</si>
  <si>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</si>
  <si>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</si>
  <si>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</si>
  <si>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</si>
  <si>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</si>
  <si>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</si>
  <si>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</si>
  <si>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</si>
  <si>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</si>
  <si>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</si>
  <si>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</si>
  <si>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</si>
  <si>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</si>
  <si>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</si>
  <si>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</si>
  <si>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</si>
  <si>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</si>
  <si>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</si>
  <si>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</si>
  <si>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</si>
  <si>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</si>
  <si>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</si>
  <si>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</si>
  <si>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</si>
  <si>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</si>
  <si>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</si>
  <si>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</si>
  <si>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</si>
  <si>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</si>
  <si>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</si>
  <si>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</si>
  <si>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</si>
  <si>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</si>
  <si>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</si>
  <si>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</si>
  <si>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</si>
  <si>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</si>
  <si>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</si>
  <si>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</si>
  <si>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</si>
  <si>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</si>
  <si>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</si>
  <si>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</si>
  <si>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</si>
  <si>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</si>
  <si>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</si>
  <si>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</si>
  <si>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</si>
  <si>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</si>
  <si>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</si>
  <si>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</si>
  <si>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</si>
  <si>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</si>
  <si>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</si>
  <si>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</si>
  <si>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</si>
  <si>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</si>
  <si>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</si>
  <si>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</si>
  <si>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</si>
  <si>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</si>
  <si>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</si>
  <si>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</si>
  <si>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</si>
  <si>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</si>
  <si>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</si>
  <si>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</si>
  <si>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</si>
  <si>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</si>
  <si>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</si>
  <si>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</si>
  <si>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</si>
  <si>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</si>
  <si>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</si>
  <si>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</si>
  <si>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</si>
  <si>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</si>
  <si>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</si>
  <si>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</si>
  <si>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</si>
  <si>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</si>
  <si>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</si>
  <si>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</si>
  <si>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</si>
  <si>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</si>
  <si>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</si>
  <si>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</si>
  <si>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</si>
  <si>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</si>
  <si>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</si>
  <si>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</si>
  <si>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</si>
  <si>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</si>
  <si>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</si>
  <si>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</si>
  <si>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</si>
  <si>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</si>
  <si>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</si>
  <si>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</si>
  <si>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</si>
  <si>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</si>
  <si>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</si>
  <si>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</si>
  <si>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</si>
  <si>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</si>
  <si>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</si>
  <si>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</si>
  <si>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</si>
  <si>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</si>
  <si>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</si>
  <si>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</si>
  <si>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</si>
  <si>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</si>
  <si>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</si>
  <si>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</si>
  <si>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</si>
  <si>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</si>
  <si>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</si>
  <si>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</si>
  <si>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</si>
  <si>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</si>
  <si>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</si>
  <si>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</si>
  <si>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</si>
  <si>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</si>
  <si>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</si>
  <si>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</si>
  <si>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</si>
  <si>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</si>
  <si>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</si>
  <si>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</si>
  <si>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</si>
  <si>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</si>
  <si>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</si>
  <si>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</si>
  <si>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</si>
  <si>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</si>
  <si>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</si>
  <si>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</si>
  <si>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</si>
  <si>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</si>
  <si>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</si>
  <si>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</si>
  <si>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</si>
  <si>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</si>
  <si>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</si>
  <si>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</si>
  <si>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</si>
  <si>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</si>
  <si>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</si>
  <si>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</si>
  <si>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</si>
  <si>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</si>
  <si>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</si>
  <si>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</si>
  <si>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</si>
  <si>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</si>
  <si>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</si>
  <si>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</si>
  <si>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</si>
  <si>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</si>
  <si>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</si>
  <si>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</si>
  <si>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</si>
  <si>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</si>
  <si>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</si>
  <si>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</si>
  <si>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</si>
  <si>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</si>
  <si>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</si>
  <si>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</si>
  <si>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</si>
  <si>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</si>
  <si>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</si>
  <si>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</si>
  <si>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</si>
  <si>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</si>
  <si>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</si>
  <si>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</si>
  <si>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</si>
  <si>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</si>
  <si>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</si>
  <si>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</si>
  <si>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</si>
  <si>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</si>
  <si>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</si>
  <si>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</si>
  <si>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</si>
  <si>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</si>
  <si>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</si>
  <si>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</si>
  <si>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</si>
  <si>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</si>
  <si>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</si>
  <si>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</si>
  <si>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</si>
  <si>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</si>
  <si>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</si>
  <si>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</si>
  <si>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</si>
  <si>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</si>
  <si>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</si>
  <si>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</si>
  <si>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</si>
  <si>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</si>
  <si>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</si>
  <si>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</si>
  <si>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</si>
  <si>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</si>
  <si>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</si>
  <si>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</si>
  <si>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</si>
  <si>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</si>
  <si>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</si>
  <si>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</si>
  <si>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</si>
  <si>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</si>
  <si>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</si>
  <si>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</si>
  <si>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</si>
  <si>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</si>
  <si>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</si>
  <si>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</si>
  <si>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</si>
  <si>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</si>
  <si>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</si>
  <si>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</si>
  <si>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</si>
  <si>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</si>
  <si>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</si>
  <si>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</si>
  <si>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</si>
  <si>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</si>
  <si>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</si>
  <si>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</si>
  <si>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</si>
  <si>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</si>
  <si>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</si>
  <si>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</si>
  <si>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</si>
  <si>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</si>
  <si>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</si>
  <si>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</si>
  <si>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</si>
  <si>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</si>
  <si>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</si>
  <si>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</si>
  <si>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</si>
  <si>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</si>
  <si>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</si>
  <si>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</si>
  <si>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</si>
  <si>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</si>
  <si>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</si>
  <si>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</si>
  <si>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</si>
  <si>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</si>
  <si>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</si>
  <si>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</si>
  <si>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</si>
  <si>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</si>
  <si>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</si>
  <si>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</si>
  <si>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</si>
  <si>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</si>
  <si>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</si>
  <si>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</si>
  <si>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</si>
  <si>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</si>
  <si>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</si>
  <si>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</si>
  <si>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</si>
  <si>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</si>
  <si>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</si>
  <si>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</si>
  <si>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</si>
  <si>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</si>
  <si>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</si>
  <si>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</si>
  <si>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</si>
  <si>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</si>
  <si>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</si>
  <si>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</si>
  <si>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</si>
  <si>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</si>
  <si>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</si>
  <si>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</si>
  <si>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</si>
  <si>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</si>
  <si>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</si>
  <si>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</si>
  <si>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</si>
  <si>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</si>
  <si>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</si>
  <si>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</si>
  <si>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</si>
  <si>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</si>
  <si>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</si>
  <si>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</si>
  <si>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</si>
  <si>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</si>
  <si>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</si>
  <si>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</si>
  <si>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</si>
  <si>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</si>
  <si>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</si>
  <si>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</si>
  <si>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</si>
  <si>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</si>
  <si>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</si>
  <si>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</si>
  <si>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</si>
  <si>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</si>
  <si>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</si>
  <si>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</si>
  <si>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</si>
  <si>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</si>
  <si>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</si>
  <si>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</si>
  <si>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</si>
  <si>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</si>
  <si>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</si>
  <si>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</si>
  <si>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</si>
  <si>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</si>
  <si>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</si>
  <si>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</si>
  <si>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</si>
  <si>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</si>
  <si>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</si>
  <si>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</si>
  <si>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</si>
  <si>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</si>
  <si>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</si>
  <si>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</si>
  <si>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</si>
  <si>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</si>
  <si>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</si>
  <si>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</si>
  <si>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</si>
  <si>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</si>
  <si>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</si>
  <si>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</si>
  <si>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</si>
  <si>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</si>
  <si>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</si>
  <si>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</si>
  <si>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</si>
  <si>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</si>
  <si>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</si>
  <si>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</si>
  <si>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</si>
  <si>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</si>
  <si>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</si>
  <si>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</si>
  <si>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</si>
  <si>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</si>
  <si>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</si>
  <si>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</si>
  <si>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</si>
  <si>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</si>
  <si>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</si>
  <si>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</si>
  <si>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</si>
  <si>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</si>
  <si>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</si>
  <si>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</si>
  <si>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</si>
  <si>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</si>
  <si>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</si>
  <si>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</si>
  <si>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</si>
  <si>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</si>
  <si>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</si>
  <si>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</si>
  <si>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</si>
  <si>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</si>
  <si>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</si>
  <si>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</si>
  <si>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</si>
  <si>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</si>
  <si>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</si>
  <si>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</si>
  <si>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</si>
  <si>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</si>
  <si>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</si>
  <si>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</si>
  <si>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</si>
  <si>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</si>
  <si>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</si>
  <si>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</si>
  <si>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</si>
  <si>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</si>
  <si>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</si>
  <si>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</si>
  <si>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</si>
  <si>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</si>
  <si>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</si>
  <si>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</si>
  <si>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</si>
  <si>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</si>
  <si>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</si>
  <si>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</si>
  <si>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</si>
  <si>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</si>
  <si>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</si>
  <si>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</si>
  <si>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</si>
  <si>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</si>
  <si>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</si>
  <si>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</si>
  <si>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</si>
  <si>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</si>
  <si>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</si>
  <si>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</si>
  <si>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</si>
  <si>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</si>
  <si>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</si>
  <si>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</si>
  <si>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</si>
  <si>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</si>
  <si>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</si>
  <si>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</si>
  <si>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</si>
  <si>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</si>
  <si>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</si>
  <si>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</si>
  <si>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</si>
  <si>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</si>
  <si>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</si>
  <si>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</si>
  <si>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</si>
  <si>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</si>
  <si>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</si>
  <si>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</si>
  <si>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</si>
  <si>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</si>
  <si>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</si>
  <si>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</si>
  <si>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</si>
  <si>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</si>
  <si>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</si>
  <si>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</si>
  <si>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</si>
  <si>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</si>
  <si>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</si>
  <si>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</si>
  <si>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</si>
  <si>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</si>
  <si>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</si>
  <si>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</si>
  <si>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</si>
  <si>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</si>
  <si>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</si>
  <si>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</si>
  <si>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</si>
  <si>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</si>
  <si>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</si>
  <si>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</si>
  <si>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</si>
  <si>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</si>
  <si>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</si>
  <si>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</si>
  <si>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</si>
  <si>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</si>
  <si>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</si>
  <si>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</si>
  <si>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</si>
  <si>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</si>
  <si>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</si>
  <si>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</si>
  <si>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</si>
  <si>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</si>
  <si>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</si>
  <si>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</si>
  <si>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</si>
  <si>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</si>
  <si>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</si>
  <si>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</si>
  <si>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</si>
  <si>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</si>
  <si>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</si>
  <si>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</si>
  <si>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</si>
  <si>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</si>
  <si>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</si>
  <si>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</si>
  <si>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</si>
  <si>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</si>
  <si>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</si>
  <si>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</si>
  <si>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</si>
  <si>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</si>
  <si>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</si>
  <si>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</si>
  <si>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</si>
  <si>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</si>
  <si>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</si>
  <si>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</si>
  <si>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</si>
  <si>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</si>
  <si>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</si>
  <si>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</si>
  <si>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</si>
  <si>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</si>
  <si>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</si>
  <si>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</si>
  <si>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</si>
  <si>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</si>
  <si>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</si>
  <si>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</si>
  <si>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</si>
  <si>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</si>
  <si>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</si>
  <si>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</si>
  <si>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</si>
  <si>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</si>
  <si>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</si>
  <si>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</si>
  <si>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</si>
  <si>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</si>
  <si>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</si>
  <si>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</si>
  <si>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</si>
  <si>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</si>
  <si>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</si>
  <si>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</si>
  <si>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</si>
  <si>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</si>
  <si>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</si>
  <si>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</si>
  <si>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</si>
  <si>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</si>
  <si>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</si>
  <si>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</si>
  <si>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</si>
  <si>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</si>
  <si>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</si>
  <si>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</si>
  <si>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</si>
  <si>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</si>
  <si>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</si>
  <si>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</si>
  <si>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</si>
  <si>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</si>
  <si>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</si>
  <si>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</si>
  <si>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</si>
  <si>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</si>
  <si>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</si>
  <si>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</si>
  <si>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</si>
  <si>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</si>
  <si>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</si>
  <si>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</si>
  <si>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</si>
  <si>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</si>
  <si>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</si>
  <si>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</si>
  <si>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</si>
  <si>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</si>
  <si>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</si>
  <si>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</si>
  <si>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</si>
  <si>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</si>
  <si>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</si>
  <si>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</si>
  <si>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</si>
  <si>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</si>
  <si>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</si>
  <si>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</si>
  <si>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</si>
  <si>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</si>
  <si>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</si>
  <si>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</si>
  <si>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</si>
  <si>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</si>
  <si>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</si>
  <si>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</si>
  <si>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</si>
  <si>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</si>
  <si>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</si>
  <si>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</si>
  <si>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</si>
  <si>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</si>
  <si>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</si>
  <si>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</si>
  <si>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</si>
  <si>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</si>
  <si>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</si>
  <si>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</si>
  <si>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</si>
  <si>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</si>
  <si>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</si>
  <si>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</si>
  <si>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</si>
  <si>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</si>
  <si>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</si>
  <si>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</si>
  <si>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</si>
  <si>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</si>
  <si>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</si>
  <si>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</si>
  <si>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</si>
  <si>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</si>
  <si>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</si>
  <si>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</si>
  <si>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</si>
  <si>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</si>
  <si>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</si>
  <si>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</si>
  <si>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</si>
  <si>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</si>
  <si>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</si>
  <si>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</si>
  <si>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</si>
  <si>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</si>
  <si>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</si>
  <si>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</si>
  <si>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</si>
  <si>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</si>
  <si>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</si>
  <si>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</si>
  <si>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</si>
  <si>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</si>
  <si>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</si>
  <si>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</si>
  <si>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</si>
  <si>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</si>
  <si>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</si>
  <si>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</si>
  <si>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</si>
  <si>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</si>
  <si>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</si>
  <si>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</si>
  <si>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</si>
  <si>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</si>
  <si>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</si>
  <si>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</si>
  <si>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</si>
  <si>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</si>
  <si>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</si>
  <si>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</si>
  <si>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</si>
  <si>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</si>
  <si>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</si>
  <si>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</si>
  <si>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</si>
  <si>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</si>
  <si>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</si>
  <si>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</si>
  <si>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</si>
  <si>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</si>
  <si>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</si>
  <si>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</si>
  <si>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</si>
  <si>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</si>
  <si>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</si>
  <si>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</si>
  <si>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</si>
  <si>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</si>
  <si>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</si>
  <si>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</si>
  <si>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</si>
  <si>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</si>
  <si>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</si>
  <si>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</si>
  <si>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</si>
  <si>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</si>
  <si>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</si>
  <si>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</si>
  <si>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</si>
  <si>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</si>
  <si>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</si>
  <si>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</si>
  <si>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</si>
  <si>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</si>
  <si>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</si>
  <si>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</si>
  <si>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</si>
  <si>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</si>
  <si>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</si>
  <si>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</si>
  <si>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</si>
  <si>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</si>
  <si>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</si>
  <si>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</si>
  <si>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</si>
  <si>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</si>
  <si>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</si>
  <si>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</si>
  <si>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</si>
  <si>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</si>
  <si>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</si>
  <si>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</si>
  <si>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</si>
  <si>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</si>
  <si>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</si>
  <si>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</si>
  <si>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</si>
  <si>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</si>
  <si>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</si>
  <si>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</si>
  <si>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</si>
  <si>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</si>
  <si>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</si>
  <si>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</si>
  <si>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</si>
  <si>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</si>
  <si>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</si>
  <si>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</si>
  <si>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</si>
  <si>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</si>
  <si>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</si>
  <si>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</si>
  <si>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</si>
  <si>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</si>
  <si>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</si>
  <si>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</si>
  <si>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</si>
  <si>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</si>
  <si>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</si>
  <si>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</si>
  <si>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</si>
  <si>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</si>
  <si>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</si>
  <si>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</si>
  <si>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</si>
  <si>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</si>
  <si>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</si>
  <si>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</si>
  <si>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</si>
  <si>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</si>
  <si>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</si>
  <si>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</si>
  <si>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</si>
  <si>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</si>
  <si>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</si>
  <si>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</si>
  <si>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</si>
  <si>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</si>
  <si>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</si>
  <si>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</si>
  <si>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</si>
  <si>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</si>
  <si>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</si>
  <si>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</si>
  <si>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</si>
  <si>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</si>
  <si>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</si>
  <si>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</si>
  <si>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</si>
  <si>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</si>
  <si>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</si>
  <si>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</si>
  <si>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</si>
  <si>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</si>
  <si>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</si>
  <si>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</si>
  <si>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</si>
  <si>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</si>
  <si>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</si>
  <si>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</si>
  <si>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</si>
  <si>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</si>
  <si>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</si>
  <si>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</si>
  <si>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</si>
  <si>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</si>
  <si>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</si>
  <si>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</si>
  <si>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</si>
  <si>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</si>
  <si>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</si>
  <si>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</si>
  <si>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</si>
  <si>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</si>
  <si>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</si>
  <si>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</si>
  <si>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</si>
  <si>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</si>
  <si>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</si>
  <si>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</si>
  <si>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</si>
  <si>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</si>
  <si>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</si>
  <si>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</si>
  <si>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</si>
  <si>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</si>
  <si>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</si>
  <si>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</si>
  <si>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</si>
  <si>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</si>
  <si>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</si>
  <si>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</si>
  <si>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</si>
  <si>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</si>
  <si>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</si>
  <si>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</si>
  <si>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</si>
  <si>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</si>
  <si>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</si>
  <si>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</si>
  <si>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</si>
  <si>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</si>
  <si>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</si>
  <si>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</si>
  <si>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</si>
  <si>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</si>
  <si>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</si>
  <si>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</si>
  <si>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</si>
  <si>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</si>
  <si>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</si>
  <si>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</si>
  <si>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</si>
  <si>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</si>
  <si>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</si>
  <si>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</si>
  <si>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</si>
  <si>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</si>
  <si>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</si>
  <si>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</si>
  <si>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</si>
  <si>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</si>
  <si>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</si>
  <si>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</si>
  <si>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</si>
  <si>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</si>
  <si>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</si>
  <si>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</si>
  <si>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</si>
  <si>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</si>
  <si>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</si>
  <si>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</si>
  <si>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</si>
  <si>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</si>
  <si>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</si>
  <si>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</si>
  <si>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</si>
  <si>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</si>
  <si>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</si>
  <si>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</si>
  <si>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</si>
  <si>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</si>
  <si>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</si>
  <si>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</si>
  <si>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</si>
  <si>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</si>
  <si>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</si>
  <si>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</si>
  <si>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</si>
  <si>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</si>
  <si>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</si>
  <si>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</si>
  <si>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</si>
  <si>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</si>
  <si>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</si>
  <si>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</si>
  <si>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</si>
  <si>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</si>
  <si>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</si>
  <si>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</si>
  <si>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</si>
  <si>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</si>
  <si>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</si>
  <si>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</si>
  <si>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</si>
  <si>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</si>
  <si>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</si>
  <si>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</si>
  <si>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</si>
  <si>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</si>
  <si>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</si>
  <si>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</si>
  <si>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</si>
  <si>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</si>
  <si>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</si>
  <si>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</si>
  <si>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</si>
  <si>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</si>
  <si>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</si>
  <si>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</si>
  <si>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</si>
  <si>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</si>
  <si>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</si>
  <si>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</si>
  <si>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</si>
  <si>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</si>
  <si>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</si>
  <si>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</si>
  <si>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</si>
  <si>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</si>
  <si>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</si>
  <si>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</si>
  <si>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</si>
  <si>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</si>
  <si>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</si>
  <si>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</si>
  <si>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</si>
  <si>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</si>
  <si>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</si>
  <si>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</si>
  <si>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</si>
  <si>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</si>
  <si>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</si>
  <si>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</si>
  <si>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</si>
  <si>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</si>
  <si>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</si>
  <si>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</si>
  <si>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</si>
  <si>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</si>
  <si>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</si>
  <si>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</si>
  <si>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</si>
  <si>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</si>
  <si>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</si>
  <si>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</si>
  <si>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</si>
  <si>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</si>
  <si>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</si>
  <si>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</si>
  <si>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</si>
  <si>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</si>
  <si>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</si>
  <si>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</si>
  <si>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</si>
  <si>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</si>
  <si>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</si>
  <si>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</si>
  <si>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</si>
  <si>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</si>
  <si>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</si>
  <si>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</si>
  <si>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</si>
  <si>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</si>
  <si>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</si>
  <si>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</si>
  <si>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</si>
  <si>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</si>
  <si>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</si>
  <si>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</si>
  <si>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</si>
  <si>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</si>
  <si>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</si>
  <si>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</si>
  <si>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</si>
  <si>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</si>
  <si>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</si>
  <si>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</si>
  <si>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</si>
  <si>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</si>
  <si>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</si>
  <si>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</si>
  <si>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</si>
  <si>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</si>
  <si>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</si>
  <si>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</si>
  <si>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</si>
  <si>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</si>
  <si>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</si>
  <si>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</si>
  <si>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</si>
  <si>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</si>
  <si>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</si>
  <si>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</si>
  <si>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</si>
  <si>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</si>
  <si>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</si>
  <si>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</si>
  <si>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</si>
  <si>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</si>
  <si>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</si>
  <si>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</si>
  <si>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</si>
  <si>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</si>
  <si>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</si>
  <si>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</si>
  <si>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</si>
  <si>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</si>
  <si>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</si>
  <si>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</si>
  <si>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</si>
  <si>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</si>
  <si>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</si>
  <si>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</si>
  <si>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</si>
  <si>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</si>
  <si>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</si>
  <si>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</si>
  <si>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</si>
  <si>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</si>
  <si>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</si>
  <si>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</si>
  <si>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</si>
  <si>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</si>
  <si>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</si>
  <si>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</si>
  <si>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</si>
  <si>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</si>
  <si>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</si>
  <si>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</si>
  <si>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</si>
  <si>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</si>
  <si>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</si>
  <si>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</si>
  <si>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</si>
  <si>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</si>
  <si>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</si>
  <si>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</si>
  <si>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</si>
  <si>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</si>
  <si>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</si>
  <si>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</si>
  <si>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</si>
  <si>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</si>
  <si>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</si>
  <si>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</si>
  <si>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</si>
  <si>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</si>
  <si>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</si>
  <si>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</si>
  <si>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</si>
  <si>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</si>
  <si>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</si>
  <si>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</si>
  <si>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</si>
  <si>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</si>
  <si>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</si>
  <si>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</si>
  <si>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</si>
  <si>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</si>
  <si>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</si>
  <si>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</si>
  <si>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</si>
  <si>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</si>
  <si>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</si>
  <si>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</si>
  <si>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</si>
  <si>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</si>
  <si>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</si>
  <si>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</si>
  <si>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</si>
  <si>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</si>
  <si>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</si>
  <si>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</si>
  <si>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</si>
  <si>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</si>
  <si>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</si>
  <si>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</si>
  <si>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</si>
  <si>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</si>
  <si>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</si>
  <si>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</si>
  <si>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</si>
  <si>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</si>
  <si>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</si>
  <si>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</si>
  <si>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</si>
  <si>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</si>
  <si>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</si>
  <si>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</si>
  <si>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</si>
  <si>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</si>
  <si>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</si>
  <si>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</si>
  <si>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</si>
  <si>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</si>
  <si>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</si>
  <si>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</si>
  <si>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</si>
  <si>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</si>
  <si>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</si>
  <si>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</si>
  <si>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</si>
  <si>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</si>
  <si>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</si>
  <si>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</si>
  <si>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</si>
  <si>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</si>
  <si>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</si>
  <si>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</si>
  <si>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</si>
  <si>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</si>
  <si>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</si>
  <si>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</si>
  <si>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</si>
  <si>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</si>
  <si>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</si>
  <si>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</si>
  <si>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</si>
  <si>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</si>
  <si>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</si>
  <si>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</si>
  <si>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</si>
  <si>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</si>
  <si>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</si>
  <si>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</si>
  <si>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</si>
  <si>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</si>
  <si>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</si>
  <si>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</si>
  <si>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</si>
  <si>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</si>
  <si>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</si>
  <si>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</si>
  <si>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</si>
  <si>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</si>
  <si>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</si>
  <si>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</si>
  <si>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</si>
  <si>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</si>
  <si>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</si>
  <si>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</si>
  <si>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</si>
  <si>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</si>
  <si>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</si>
  <si>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</si>
  <si>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</si>
  <si>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</si>
  <si>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</si>
  <si>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</si>
  <si>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</si>
  <si>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</si>
  <si>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</si>
  <si>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</si>
  <si>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</si>
  <si>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</si>
  <si>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</si>
  <si>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</si>
  <si>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</si>
  <si>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</si>
  <si>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</si>
  <si>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</si>
  <si>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</si>
  <si>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</si>
  <si>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</si>
  <si>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</si>
  <si>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</si>
  <si>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</si>
  <si>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</si>
  <si>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</si>
  <si>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</si>
  <si>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</si>
  <si>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</si>
  <si>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</si>
  <si>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</si>
  <si>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</si>
  <si>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</si>
  <si>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</si>
  <si>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</si>
  <si>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</si>
  <si>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</si>
  <si>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</si>
  <si>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</si>
  <si>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</si>
  <si>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</si>
  <si>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</si>
  <si>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</si>
  <si>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</si>
  <si>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</si>
  <si>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</si>
  <si>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</si>
  <si>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</si>
  <si>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</si>
  <si>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</si>
  <si>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</si>
  <si>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</si>
  <si>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</si>
  <si>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</si>
  <si>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</si>
  <si>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</si>
  <si>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</si>
  <si>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</si>
  <si>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</si>
  <si>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</si>
  <si>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</si>
  <si>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</si>
  <si>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</si>
  <si>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</si>
  <si>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</si>
  <si>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</si>
  <si>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</si>
  <si>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</si>
  <si>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</si>
  <si>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</si>
  <si>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</si>
  <si>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</si>
  <si>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</si>
  <si>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</si>
  <si>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</si>
  <si>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</si>
  <si>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</si>
  <si>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</si>
  <si>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</si>
  <si>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</si>
  <si>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</si>
  <si>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</si>
  <si>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</si>
  <si>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</si>
  <si>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</si>
  <si>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</si>
  <si>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</si>
  <si>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</si>
  <si>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</si>
  <si>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</si>
  <si>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</si>
  <si>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</si>
  <si>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</si>
  <si>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</si>
  <si>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</si>
  <si>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</si>
  <si>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</si>
  <si>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</si>
  <si>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</si>
  <si>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</si>
  <si>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</si>
  <si>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</si>
  <si>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</si>
  <si>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</si>
  <si>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</si>
  <si>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</si>
  <si>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</si>
  <si>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</si>
  <si>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</si>
  <si>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</si>
  <si>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</si>
  <si>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</si>
  <si>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</si>
  <si>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</si>
  <si>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</si>
  <si>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</si>
  <si>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</si>
  <si>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</si>
  <si>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</si>
  <si>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</si>
  <si>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</si>
  <si>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</si>
  <si>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</si>
  <si>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</si>
  <si>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</si>
  <si>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</si>
  <si>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</si>
  <si>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</si>
  <si>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</si>
  <si>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</si>
  <si>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</si>
  <si>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</si>
  <si>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</si>
  <si>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</si>
  <si>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</si>
  <si>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</si>
  <si>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</si>
  <si>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</si>
  <si>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</si>
  <si>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</si>
  <si>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</si>
  <si>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</si>
  <si>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</si>
  <si>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</si>
  <si>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</si>
  <si>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</si>
  <si>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</si>
  <si>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</si>
  <si>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</si>
  <si>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</si>
  <si>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</si>
  <si>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</si>
  <si>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</si>
  <si>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</si>
  <si>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</si>
  <si>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</si>
  <si>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</si>
  <si>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</si>
  <si>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</si>
  <si>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</si>
  <si>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</si>
  <si>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</si>
  <si>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</si>
  <si>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</si>
  <si>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</si>
  <si>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</si>
  <si>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</si>
  <si>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</si>
  <si>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</si>
  <si>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</si>
  <si>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</si>
  <si>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</si>
  <si>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</si>
  <si>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</si>
  <si>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</si>
  <si>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</si>
  <si>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</si>
  <si>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</si>
  <si>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</si>
  <si>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</si>
  <si>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</si>
  <si>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</si>
  <si>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</si>
  <si>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</si>
  <si>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</si>
  <si>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</si>
  <si>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</si>
  <si>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</si>
  <si>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</si>
  <si>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</si>
  <si>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</si>
  <si>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</si>
  <si>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</si>
  <si>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</si>
  <si>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</si>
  <si>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</si>
  <si>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</si>
  <si>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</si>
  <si>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</si>
  <si>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</si>
  <si>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</si>
  <si>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</si>
  <si>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</si>
  <si>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</si>
  <si>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</si>
  <si>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</si>
  <si>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</si>
  <si>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</si>
  <si>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</si>
  <si>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</si>
  <si>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</si>
  <si>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</si>
  <si>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</si>
  <si>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</si>
  <si>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</si>
  <si>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</si>
  <si>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</si>
  <si>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</si>
  <si>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</si>
  <si>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</si>
  <si>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</si>
  <si>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</si>
  <si>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</si>
  <si>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</si>
  <si>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</si>
  <si>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</si>
  <si>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</si>
  <si>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</si>
  <si>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</si>
  <si>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</si>
  <si>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</si>
  <si>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</si>
  <si>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</si>
  <si>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</si>
  <si>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</si>
  <si>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</si>
  <si>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</si>
  <si>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</si>
  <si>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</si>
  <si>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</si>
  <si>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</si>
  <si>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</si>
  <si>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</si>
  <si>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</si>
  <si>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</si>
  <si>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</si>
  <si>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</si>
  <si>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</si>
  <si>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</si>
  <si>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</si>
  <si>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</si>
  <si>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</si>
  <si>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</si>
  <si>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</si>
  <si>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</si>
  <si>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</si>
  <si>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</si>
  <si>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</si>
  <si>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</si>
  <si>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</si>
  <si>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</si>
  <si>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</si>
  <si>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</si>
  <si>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</si>
  <si>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</si>
  <si>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</si>
  <si>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</si>
  <si>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</si>
  <si>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</si>
  <si>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</si>
  <si>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</si>
  <si>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</si>
  <si>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</si>
  <si>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</si>
  <si>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</si>
  <si>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</si>
  <si>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</si>
  <si>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</si>
  <si>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</si>
  <si>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</si>
  <si>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</si>
  <si>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</si>
  <si>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</si>
  <si>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</si>
  <si>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</si>
  <si>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</si>
  <si>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</si>
  <si>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</si>
  <si>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</si>
  <si>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</si>
  <si>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</si>
  <si>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</si>
  <si>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</si>
  <si>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</si>
  <si>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</si>
  <si>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</si>
  <si>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</si>
  <si>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</si>
  <si>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</si>
  <si>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</si>
  <si>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</si>
  <si>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</si>
  <si>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</si>
  <si>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</si>
  <si>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</si>
  <si>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</si>
  <si>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</si>
  <si>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</si>
  <si>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</si>
  <si>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</si>
  <si>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</si>
  <si>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</si>
  <si>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</si>
  <si>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</si>
  <si>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</si>
  <si>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</si>
  <si>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</si>
  <si>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</si>
  <si>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</si>
  <si>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</si>
  <si>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</si>
  <si>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</si>
  <si>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</si>
  <si>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</si>
  <si>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</si>
  <si>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</si>
  <si>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</si>
  <si>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</si>
  <si>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</si>
  <si>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</si>
  <si>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</si>
  <si>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</si>
  <si>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</si>
  <si>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</si>
  <si>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</si>
  <si>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</si>
  <si>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</si>
  <si>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</si>
  <si>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</si>
  <si>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</si>
  <si>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</si>
  <si>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</si>
  <si>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</si>
  <si>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</si>
  <si>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</si>
  <si>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</si>
  <si>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</si>
  <si>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</si>
  <si>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</si>
  <si>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</si>
  <si>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</si>
  <si>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</si>
  <si>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</si>
  <si>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</si>
  <si>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</si>
  <si>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</si>
  <si>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</si>
  <si>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</si>
  <si>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</si>
  <si>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</si>
  <si>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</si>
  <si>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</si>
  <si>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</si>
  <si>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</si>
  <si>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</si>
  <si>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</si>
  <si>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</si>
  <si>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</si>
  <si>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</si>
  <si>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</si>
  <si>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</si>
  <si>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</si>
  <si>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</si>
  <si>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</si>
  <si>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</si>
  <si>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</si>
  <si>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</si>
  <si>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</si>
  <si>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</si>
  <si>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</si>
  <si>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</si>
  <si>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</si>
  <si>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</si>
  <si>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</si>
  <si>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</si>
  <si>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</si>
  <si>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</si>
  <si>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</si>
  <si>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</si>
  <si>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</si>
  <si>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</si>
  <si>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</si>
  <si>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</si>
  <si>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</si>
  <si>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</si>
  <si>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</si>
  <si>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</si>
  <si>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</si>
  <si>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</si>
  <si>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</si>
  <si>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</si>
  <si>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</si>
  <si>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</si>
  <si>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</si>
  <si>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</si>
  <si>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</si>
  <si>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</si>
  <si>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</si>
  <si>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</si>
  <si>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</si>
  <si>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</si>
  <si>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</si>
  <si>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</si>
  <si>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</si>
  <si>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</si>
  <si>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</si>
  <si>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</si>
  <si>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</si>
  <si>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</si>
  <si>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</si>
  <si>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</si>
  <si>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</si>
  <si>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</si>
  <si>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</si>
  <si>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</si>
  <si>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</si>
  <si>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</si>
  <si>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</si>
  <si>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</si>
  <si>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</si>
  <si>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</si>
  <si>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</si>
  <si>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</si>
  <si>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</si>
  <si>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</si>
  <si>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</si>
  <si>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</si>
  <si>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</si>
  <si>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</si>
  <si>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</si>
  <si>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</si>
  <si>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</si>
  <si>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</si>
  <si>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</si>
  <si>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</si>
  <si>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</si>
  <si>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</si>
  <si>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</si>
  <si>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</si>
  <si>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</si>
  <si>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</si>
  <si>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</si>
  <si>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</si>
  <si>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</si>
  <si>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</si>
  <si>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</si>
  <si>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</si>
  <si>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</si>
  <si>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</si>
  <si>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</si>
  <si>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</si>
  <si>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</si>
  <si>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</si>
  <si>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</si>
  <si>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</si>
  <si>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</si>
  <si>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</si>
  <si>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</si>
  <si>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</si>
  <si>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</si>
  <si>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</si>
  <si>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</si>
  <si>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</si>
  <si>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</si>
  <si>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</si>
  <si>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</si>
  <si>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</si>
  <si>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</si>
  <si>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</si>
  <si>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</si>
  <si>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</si>
  <si>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</si>
  <si>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</si>
  <si>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</si>
  <si>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</si>
  <si>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</si>
  <si>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</si>
  <si>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</si>
  <si>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</si>
  <si>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</si>
  <si>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</si>
  <si>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</si>
  <si>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</si>
  <si>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</si>
  <si>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</si>
  <si>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</si>
  <si>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</si>
  <si>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</si>
  <si>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</si>
  <si>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</si>
  <si>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</si>
  <si>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</si>
  <si>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</si>
  <si>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</si>
  <si>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</si>
  <si>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</si>
  <si>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</si>
  <si>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</si>
  <si>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</si>
  <si>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</si>
  <si>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</si>
  <si>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</si>
  <si>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</si>
  <si>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</si>
  <si>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</si>
  <si>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</si>
  <si>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</si>
  <si>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</si>
  <si>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</si>
  <si>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</si>
  <si>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</si>
  <si>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</si>
  <si>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</si>
  <si>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</si>
  <si>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</si>
  <si>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</si>
  <si>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</si>
  <si>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</si>
  <si>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</si>
  <si>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</si>
  <si>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</si>
  <si>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</si>
  <si>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</si>
  <si>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</si>
  <si>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</si>
  <si>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</si>
  <si>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</si>
  <si>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</si>
  <si>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</si>
  <si>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</si>
  <si>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</si>
  <si>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</si>
  <si>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</si>
  <si>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</si>
  <si>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</si>
  <si>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</si>
  <si>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</si>
  <si>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</si>
  <si>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</si>
  <si>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</si>
  <si>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</si>
  <si>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</si>
  <si>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</si>
  <si>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</si>
  <si>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</si>
  <si>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</si>
  <si>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</si>
  <si>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</si>
  <si>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</si>
  <si>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</si>
  <si>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</si>
  <si>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</si>
  <si>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</si>
  <si>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</si>
  <si>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</si>
  <si>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</si>
  <si>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</si>
  <si>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</si>
  <si>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</si>
  <si>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</si>
  <si>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</si>
  <si>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</si>
  <si>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</si>
  <si>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</si>
  <si>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</si>
  <si>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</si>
  <si>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</si>
  <si>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</si>
  <si>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</si>
  <si>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</si>
  <si>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</si>
  <si>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</si>
  <si>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</si>
  <si>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</si>
  <si>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</si>
  <si>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</si>
  <si>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</si>
  <si>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</si>
  <si>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</si>
  <si>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</si>
  <si>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</si>
  <si>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</si>
  <si>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</si>
  <si>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</si>
  <si>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</si>
  <si>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</si>
  <si>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</si>
  <si>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</si>
  <si>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</si>
  <si>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</si>
  <si>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</si>
  <si>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</si>
  <si>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</si>
  <si>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</si>
  <si>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</si>
  <si>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</si>
  <si>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</si>
  <si>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</si>
  <si>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</si>
  <si>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</si>
  <si>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</si>
  <si>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</si>
  <si>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</si>
  <si>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</si>
  <si>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</si>
  <si>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</si>
  <si>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</si>
  <si>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</si>
  <si>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</si>
  <si>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</si>
  <si>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</si>
  <si>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</si>
  <si>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</si>
  <si>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</si>
  <si>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</si>
  <si>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</si>
  <si>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</si>
  <si>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</si>
  <si>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</si>
  <si>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</si>
  <si>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</si>
  <si>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</si>
  <si>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</si>
  <si>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</si>
  <si>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</si>
  <si>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</si>
  <si>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</si>
  <si>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</si>
  <si>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</si>
  <si>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</si>
  <si>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</si>
  <si>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</si>
  <si>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</si>
  <si>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</si>
  <si>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</si>
  <si>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</si>
  <si>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</si>
  <si>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</si>
  <si>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</si>
  <si>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</si>
  <si>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</si>
  <si>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</si>
  <si>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</si>
  <si>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</si>
  <si>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</si>
  <si>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</si>
  <si>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</si>
  <si>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</si>
  <si>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</si>
  <si>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</si>
  <si>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</si>
  <si>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</si>
  <si>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</si>
  <si>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</si>
  <si>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</si>
  <si>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</si>
  <si>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</si>
  <si>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</si>
  <si>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</si>
  <si>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</si>
  <si>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</si>
  <si>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</si>
  <si>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</si>
  <si>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</si>
  <si>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</si>
  <si>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</si>
  <si>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</si>
  <si>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</si>
  <si>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</si>
  <si>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</si>
  <si>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</si>
  <si>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</si>
  <si>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</si>
  <si>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</si>
  <si>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</si>
  <si>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</si>
  <si>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</si>
  <si>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</si>
  <si>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</si>
  <si>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</si>
  <si>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</si>
  <si>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</si>
  <si>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</si>
  <si>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</si>
  <si>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</si>
  <si>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</si>
  <si>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</si>
  <si>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</si>
  <si>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</si>
  <si>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</si>
  <si>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</si>
  <si>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</si>
  <si>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</si>
  <si>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</si>
  <si>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</si>
  <si>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</si>
  <si>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</si>
  <si>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</si>
  <si>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</si>
  <si>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</si>
  <si>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</si>
  <si>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</si>
  <si>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</si>
  <si>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</si>
  <si>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</si>
  <si>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</si>
  <si>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</si>
  <si>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</si>
  <si>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</si>
  <si>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</si>
  <si>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</si>
  <si>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</si>
  <si>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</si>
  <si>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</si>
  <si>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</si>
  <si>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</si>
  <si>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</si>
  <si>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</si>
  <si>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</si>
  <si>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</si>
  <si>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</si>
  <si>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</si>
  <si>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</si>
  <si>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</si>
  <si>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</si>
  <si>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</si>
  <si>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</si>
  <si>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</si>
  <si>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</si>
  <si>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</si>
  <si>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</si>
  <si>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</si>
  <si>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</si>
  <si>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</si>
  <si>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</si>
  <si>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</si>
  <si>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</si>
  <si>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</si>
  <si>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</si>
  <si>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</si>
  <si>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</si>
  <si>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</si>
  <si>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</si>
  <si>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</si>
  <si>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</si>
  <si>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</si>
  <si>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</si>
  <si>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</si>
  <si>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</si>
  <si>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</si>
  <si>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</si>
  <si>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</si>
  <si>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</si>
  <si>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</si>
  <si>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</si>
  <si>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</si>
  <si>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</si>
  <si>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</si>
  <si>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</si>
  <si>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</si>
  <si>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</si>
  <si>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</si>
  <si>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</si>
  <si>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</si>
  <si>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</si>
  <si>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</si>
  <si>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</si>
  <si>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</si>
  <si>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</si>
  <si>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</si>
  <si>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</si>
  <si>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</si>
  <si>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</si>
  <si>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</si>
  <si>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</si>
  <si>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</si>
  <si>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</si>
  <si>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</si>
  <si>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</si>
  <si>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</si>
  <si>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</si>
  <si>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</si>
  <si>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</si>
  <si>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</si>
  <si>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</si>
  <si>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</si>
  <si>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</si>
  <si>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</si>
  <si>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</si>
  <si>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</si>
  <si>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</si>
  <si>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</si>
  <si>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</si>
  <si>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</si>
  <si>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</si>
  <si>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</si>
  <si>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</si>
  <si>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</si>
  <si>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</si>
  <si>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</si>
  <si>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</si>
  <si>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</si>
  <si>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</si>
  <si>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</si>
  <si>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</si>
  <si>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</si>
  <si>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</si>
  <si>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</si>
  <si>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</si>
  <si>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</si>
  <si>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</si>
  <si>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</si>
  <si>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</si>
  <si>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</si>
  <si>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</si>
  <si>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</si>
  <si>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</si>
  <si>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</si>
  <si>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</si>
  <si>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</si>
  <si>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</si>
  <si>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</si>
  <si>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</si>
  <si>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</si>
  <si>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</si>
  <si>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</si>
  <si>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</si>
  <si>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</si>
  <si>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</si>
  <si>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</si>
  <si>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</si>
  <si>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</si>
  <si>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</si>
  <si>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</si>
  <si>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</si>
  <si>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</si>
  <si>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</si>
  <si>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</si>
  <si>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</si>
  <si>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</si>
  <si>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</si>
  <si>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</si>
  <si>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</si>
  <si>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</si>
  <si>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</si>
  <si>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</si>
  <si>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</si>
  <si>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</si>
  <si>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</si>
  <si>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</si>
  <si>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</si>
  <si>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</si>
  <si>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</si>
  <si>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</si>
  <si>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</si>
  <si>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</si>
  <si>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</si>
  <si>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</si>
  <si>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</si>
  <si>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</si>
  <si>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</si>
  <si>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</si>
  <si>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</si>
  <si>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</si>
  <si>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</si>
  <si>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</si>
  <si>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</si>
  <si>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</si>
  <si>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</si>
  <si>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</si>
  <si>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</si>
  <si>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</si>
  <si>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</si>
  <si>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</si>
  <si>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</si>
  <si>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</si>
  <si>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</si>
  <si>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</si>
  <si>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</si>
  <si>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</si>
  <si>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</si>
  <si>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</si>
  <si>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</si>
  <si>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</si>
  <si>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</si>
  <si>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</si>
  <si>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</si>
  <si>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</si>
  <si>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</si>
  <si>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</si>
  <si>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</si>
  <si>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</si>
  <si>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</si>
  <si>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</si>
  <si>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</si>
  <si>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</si>
  <si>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</si>
  <si>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</si>
  <si>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</si>
  <si>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</si>
  <si>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</si>
  <si>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</si>
  <si>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</si>
  <si>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</si>
  <si>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</si>
  <si>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</si>
  <si>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</si>
  <si>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</si>
  <si>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</si>
  <si>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</si>
  <si>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</si>
  <si>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</si>
  <si>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</si>
  <si>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</si>
  <si>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</si>
  <si>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</si>
  <si>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</si>
  <si>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</si>
  <si>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</si>
  <si>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</si>
  <si>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</si>
  <si>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</si>
  <si>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</si>
  <si>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</si>
  <si>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</si>
  <si>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</si>
  <si>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</si>
  <si>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</si>
  <si>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</si>
  <si>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</si>
  <si>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</si>
  <si>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</si>
  <si>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</si>
  <si>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</si>
  <si>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</si>
  <si>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</si>
  <si>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</si>
  <si>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</si>
  <si>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</si>
  <si>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</si>
  <si>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</si>
  <si>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</si>
  <si>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</si>
  <si>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</si>
  <si>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</si>
  <si>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</si>
  <si>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</si>
  <si>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</si>
  <si>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</si>
  <si>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</si>
  <si>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</si>
  <si>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</si>
  <si>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</si>
  <si>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</si>
  <si>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</si>
  <si>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</si>
  <si>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</si>
  <si>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</si>
  <si>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</si>
  <si>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</si>
  <si>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</si>
  <si>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</si>
  <si>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</si>
  <si>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</si>
  <si>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</si>
  <si>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</si>
  <si>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</si>
  <si>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</si>
  <si>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</si>
  <si>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</si>
  <si>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</si>
  <si>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</si>
  <si>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</si>
  <si>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</si>
  <si>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</si>
  <si>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</si>
  <si>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</si>
  <si>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</si>
  <si>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</si>
  <si>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</si>
  <si>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</si>
  <si>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</si>
  <si>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</si>
  <si>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</si>
  <si>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</si>
  <si>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</si>
  <si>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</si>
  <si>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</si>
  <si>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</si>
  <si>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</si>
  <si>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</si>
  <si>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</si>
  <si>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</si>
  <si>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</si>
  <si>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</si>
  <si>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</si>
  <si>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</si>
  <si>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</si>
  <si>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</si>
  <si>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</si>
  <si>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</si>
  <si>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</si>
  <si>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</si>
  <si>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</si>
  <si>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</si>
  <si>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</si>
  <si>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</si>
  <si>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</si>
  <si>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</si>
  <si>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</si>
  <si>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</si>
  <si>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</si>
  <si>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</si>
  <si>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</si>
  <si>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</si>
  <si>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</si>
  <si>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</si>
  <si>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</si>
  <si>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</si>
  <si>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</si>
  <si>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</si>
  <si>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</si>
  <si>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</si>
  <si>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</si>
  <si>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</si>
  <si>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</si>
  <si>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</si>
  <si>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</si>
  <si>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</si>
  <si>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</si>
  <si>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</si>
  <si>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</si>
  <si>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</si>
  <si>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</si>
  <si>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</si>
  <si>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</si>
  <si>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</si>
  <si>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</si>
  <si>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</si>
  <si>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</si>
  <si>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</si>
  <si>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</si>
  <si>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</si>
  <si>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</si>
  <si>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</si>
  <si>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</si>
  <si>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</si>
  <si>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</si>
  <si>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</si>
  <si>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</si>
  <si>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</si>
  <si>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</si>
  <si>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</si>
  <si>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</si>
  <si>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</si>
  <si>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</si>
  <si>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</si>
  <si>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</si>
  <si>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</si>
  <si>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</si>
  <si>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</si>
  <si>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</si>
  <si>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</si>
  <si>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</si>
  <si>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</si>
  <si>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</si>
  <si>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</si>
  <si>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</si>
  <si>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</si>
  <si>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</si>
  <si>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</si>
  <si>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</si>
  <si>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</si>
  <si>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</si>
  <si>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</si>
  <si>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</si>
  <si>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</si>
  <si>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</si>
  <si>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</si>
  <si>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</si>
  <si>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</si>
  <si>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</si>
  <si>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</si>
  <si>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</si>
  <si>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</si>
  <si>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</si>
  <si>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</si>
  <si>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</si>
  <si>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</si>
  <si>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</si>
  <si>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</si>
  <si>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</si>
  <si>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</si>
  <si>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</si>
  <si>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</si>
  <si>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</si>
  <si>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</si>
  <si>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</si>
  <si>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</si>
  <si>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</si>
  <si>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</si>
  <si>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</si>
  <si>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</si>
  <si>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</si>
  <si>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</si>
  <si>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</si>
  <si>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</si>
  <si>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</si>
  <si>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</si>
  <si>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</si>
  <si>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</si>
  <si>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</si>
  <si>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</si>
  <si>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</si>
  <si>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</si>
  <si>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</si>
  <si>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</si>
  <si>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</si>
  <si>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</si>
  <si>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</si>
  <si>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</si>
  <si>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</si>
  <si>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</si>
  <si>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</si>
  <si>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</si>
  <si>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</si>
  <si>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</si>
  <si>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</si>
  <si>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</si>
  <si>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</si>
  <si>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</si>
  <si>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</si>
  <si>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</si>
  <si>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</si>
  <si>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</si>
  <si>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</si>
  <si>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</si>
  <si>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</si>
  <si>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</si>
  <si>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</si>
  <si>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</si>
  <si>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</si>
  <si>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</si>
  <si>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</si>
  <si>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</si>
  <si>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</si>
  <si>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</si>
  <si>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</si>
  <si>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</si>
  <si>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</si>
  <si>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</si>
  <si>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</si>
  <si>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</si>
  <si>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</si>
  <si>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</si>
  <si>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</si>
  <si>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</si>
  <si>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</si>
  <si>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</si>
  <si>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</si>
  <si>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</si>
  <si>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</si>
  <si>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</si>
  <si>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</si>
  <si>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</si>
  <si>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</si>
  <si>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</si>
  <si>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</si>
  <si>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</si>
  <si>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</si>
  <si>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</si>
  <si>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</si>
  <si>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</si>
  <si>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</si>
  <si>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</si>
  <si>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</si>
  <si>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</si>
  <si>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</si>
  <si>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</si>
  <si>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</si>
  <si>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</si>
  <si>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</si>
  <si>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</si>
  <si>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</si>
  <si>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</si>
  <si>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</si>
  <si>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</si>
  <si>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</si>
  <si>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</si>
  <si>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</si>
  <si>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</si>
  <si>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</si>
  <si>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</si>
  <si>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</si>
  <si>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</si>
  <si>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</si>
  <si>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</si>
  <si>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</si>
  <si>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</si>
  <si>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</si>
  <si>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</si>
  <si>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</si>
  <si>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</si>
  <si>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</si>
  <si>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</si>
  <si>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</si>
  <si>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</si>
  <si>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</si>
  <si>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</si>
  <si>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</si>
  <si>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</si>
  <si>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</si>
  <si>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</si>
  <si>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</si>
  <si>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</si>
  <si>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</si>
  <si>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</si>
  <si>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</si>
  <si>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</si>
  <si>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</si>
  <si>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</si>
  <si>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</si>
  <si>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</si>
  <si>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</si>
  <si>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</si>
  <si>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</si>
  <si>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</si>
  <si>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</si>
  <si>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</si>
  <si>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</si>
  <si>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</si>
  <si>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</si>
  <si>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</si>
  <si>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</si>
  <si>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</si>
  <si>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</si>
  <si>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</si>
  <si>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</si>
  <si>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</si>
  <si>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</si>
  <si>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</si>
  <si>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</si>
  <si>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</si>
  <si>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</si>
  <si>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</si>
  <si>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</si>
  <si>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</si>
  <si>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</si>
  <si>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</si>
  <si>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</si>
  <si>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</si>
  <si>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</si>
  <si>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</si>
  <si>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</si>
  <si>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</si>
  <si>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</si>
  <si>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</si>
  <si>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</si>
  <si>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</si>
  <si>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</si>
  <si>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</si>
  <si>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</si>
  <si>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</si>
  <si>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</si>
  <si>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</si>
  <si>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</si>
  <si>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</si>
  <si>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</si>
  <si>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</si>
  <si>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</si>
  <si>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</si>
  <si>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</si>
  <si>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</si>
  <si>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</si>
  <si>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</si>
  <si>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</si>
  <si>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</si>
  <si>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</si>
  <si>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</si>
  <si>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</si>
  <si>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</si>
  <si>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</si>
  <si>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</si>
  <si>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</si>
  <si>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</si>
  <si>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</si>
  <si>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</si>
  <si>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</si>
  <si>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</si>
  <si>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</si>
  <si>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</si>
  <si>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</si>
  <si>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</si>
  <si>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</si>
  <si>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</si>
  <si>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</si>
  <si>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</si>
  <si>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</si>
  <si>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</si>
  <si>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</si>
  <si>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</si>
  <si>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</si>
  <si>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</si>
  <si>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</si>
  <si>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</si>
  <si>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</si>
  <si>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</si>
  <si>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</si>
  <si>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</si>
  <si>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</si>
  <si>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</si>
  <si>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</si>
  <si>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</si>
  <si>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</si>
  <si>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</si>
  <si>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</si>
  <si>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</si>
  <si>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</si>
  <si>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</si>
  <si>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</si>
  <si>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</si>
  <si>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</si>
  <si>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</si>
  <si>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</si>
  <si>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</si>
  <si>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</si>
  <si>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</si>
  <si>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</si>
  <si>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</si>
  <si>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</si>
  <si>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</si>
  <si>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</si>
  <si>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</si>
  <si>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</si>
  <si>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</si>
  <si>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</si>
  <si>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</si>
  <si>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</si>
  <si>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</si>
  <si>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</si>
  <si>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</si>
  <si>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</si>
  <si>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</si>
  <si>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</si>
  <si>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</si>
  <si>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</si>
  <si>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</si>
  <si>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</si>
  <si>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</si>
  <si>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</si>
  <si>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</si>
  <si>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</si>
  <si>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</si>
  <si>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</si>
  <si>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</si>
  <si>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</si>
  <si>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</si>
  <si>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</si>
  <si>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</si>
  <si>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</si>
  <si>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</si>
  <si>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</si>
  <si>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</si>
  <si>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</si>
  <si>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</si>
  <si>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</si>
  <si>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</si>
  <si>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</si>
  <si>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</si>
  <si>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</si>
  <si>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</si>
  <si>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</si>
  <si>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</si>
  <si>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</si>
  <si>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</si>
  <si>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</si>
  <si>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</si>
  <si>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</si>
  <si>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</si>
  <si>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</si>
  <si>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</si>
  <si>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</si>
  <si>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</si>
  <si>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</si>
  <si>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</si>
  <si>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</si>
  <si>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</si>
  <si>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</si>
  <si>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</si>
  <si>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</si>
  <si>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</si>
  <si>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</si>
  <si>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</si>
  <si>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</si>
  <si>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</si>
  <si>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</si>
  <si>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</si>
  <si>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</si>
  <si>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</si>
  <si>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</si>
  <si>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</si>
  <si>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</si>
  <si>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</si>
  <si>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</si>
  <si>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</si>
  <si>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</si>
  <si>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</si>
  <si>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</si>
  <si>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</si>
  <si>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</si>
  <si>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</si>
  <si>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</si>
  <si>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</si>
  <si>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</si>
  <si>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</si>
  <si>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</si>
  <si>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</si>
  <si>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</si>
  <si>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</si>
  <si>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</si>
  <si>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</si>
  <si>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</si>
  <si>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</si>
  <si>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</si>
  <si>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</si>
  <si>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</si>
  <si>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</si>
  <si>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</si>
  <si>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</si>
  <si>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</si>
  <si>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</si>
  <si>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</si>
  <si>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</si>
  <si>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</si>
  <si>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</si>
  <si>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</si>
  <si>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</si>
  <si>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</si>
  <si>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</si>
  <si>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</si>
  <si>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</si>
  <si>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</si>
  <si>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</si>
  <si>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</si>
  <si>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</si>
  <si>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</si>
  <si>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</si>
  <si>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</si>
  <si>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</si>
  <si>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</si>
  <si>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</si>
  <si>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</si>
  <si>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</si>
  <si>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</si>
  <si>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</si>
  <si>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</si>
  <si>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</si>
  <si>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</si>
  <si>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</si>
  <si>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</si>
  <si>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</si>
  <si>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</si>
  <si>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</si>
  <si>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</si>
  <si>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</si>
  <si>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</si>
  <si>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</si>
  <si>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</si>
  <si>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</si>
  <si>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</si>
  <si>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</si>
  <si>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</si>
  <si>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</si>
  <si>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</si>
  <si>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</si>
  <si>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</si>
  <si>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</si>
  <si>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</si>
  <si>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</si>
  <si>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</si>
  <si>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</si>
  <si>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</si>
  <si>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</si>
  <si>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</si>
  <si>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</si>
  <si>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</si>
  <si>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</si>
  <si>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</si>
  <si>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</si>
  <si>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</si>
  <si>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</si>
  <si>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</si>
  <si>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</si>
  <si>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</si>
  <si>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</si>
  <si>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</si>
  <si>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</si>
  <si>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</si>
  <si>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</si>
  <si>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</si>
  <si>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</si>
  <si>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</si>
  <si>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</si>
  <si>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</si>
  <si>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</si>
  <si>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</si>
  <si>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</si>
  <si>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</si>
  <si>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</si>
  <si>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</si>
  <si>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</si>
  <si>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</si>
  <si>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</si>
  <si>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</si>
  <si>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</si>
  <si>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</si>
  <si>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</si>
  <si>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</si>
  <si>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</si>
  <si>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</si>
  <si>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</si>
  <si>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</si>
  <si>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</si>
  <si>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</si>
  <si>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</si>
  <si>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</si>
  <si>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</si>
  <si>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</si>
  <si>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</si>
  <si>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</si>
  <si>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</si>
  <si>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</si>
  <si>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</si>
  <si>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</si>
  <si>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</si>
  <si>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</si>
  <si>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</si>
  <si>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</si>
  <si>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</si>
  <si>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</si>
  <si>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</si>
  <si>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</si>
  <si>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</si>
  <si>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</si>
  <si>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</si>
  <si>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</si>
  <si>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</si>
  <si>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</si>
  <si>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</si>
  <si>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</si>
  <si>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</si>
  <si>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</si>
  <si>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</si>
  <si>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</si>
  <si>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</si>
  <si>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</si>
  <si>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</si>
  <si>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</si>
  <si>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</si>
  <si>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</si>
  <si>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</si>
  <si>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</si>
  <si>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</si>
  <si>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</si>
  <si>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</si>
  <si>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</si>
  <si>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</si>
  <si>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</si>
  <si>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</si>
  <si>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</si>
  <si>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</si>
  <si>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</si>
  <si>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</si>
  <si>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</si>
  <si>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</si>
  <si>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</si>
  <si>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</si>
  <si>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</si>
  <si>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</si>
  <si>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</si>
  <si>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</si>
  <si>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</si>
  <si>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</si>
  <si>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</si>
  <si>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</si>
  <si>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</si>
  <si>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</si>
  <si>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</si>
  <si>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</si>
  <si>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</si>
  <si>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</si>
  <si>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</si>
  <si>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</si>
  <si>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</si>
  <si>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</si>
  <si>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</si>
  <si>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</si>
  <si>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</si>
  <si>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</si>
  <si>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</si>
  <si>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</si>
  <si>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</si>
  <si>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</si>
  <si>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</si>
  <si>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</si>
  <si>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</si>
  <si>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</si>
  <si>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</si>
  <si>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</si>
  <si>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</si>
  <si>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</si>
  <si>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</si>
  <si>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</si>
  <si>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</si>
  <si>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</si>
  <si>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</si>
  <si>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</si>
  <si>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</si>
  <si>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</si>
  <si>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</si>
  <si>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</si>
  <si>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</si>
  <si>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</si>
  <si>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</si>
  <si>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</si>
  <si>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</si>
  <si>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</si>
  <si>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</si>
  <si>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</si>
  <si>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</si>
  <si>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</si>
  <si>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</si>
  <si>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</si>
  <si>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</si>
  <si>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</si>
  <si>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</si>
  <si>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</si>
  <si>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</si>
  <si>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</si>
  <si>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</si>
  <si>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</si>
  <si>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</si>
  <si>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</si>
  <si>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</si>
  <si>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</si>
  <si>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</si>
  <si>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</si>
  <si>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</si>
  <si>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</si>
  <si>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</si>
  <si>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</si>
  <si>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</si>
  <si>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</si>
  <si>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</si>
  <si>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</si>
  <si>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</si>
  <si>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</si>
  <si>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</si>
  <si>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</si>
  <si>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</si>
  <si>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</si>
  <si>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</si>
  <si>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</si>
  <si>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</si>
  <si>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</si>
  <si>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</si>
  <si>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</si>
  <si>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</si>
  <si>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</si>
  <si>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</si>
  <si>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</si>
  <si>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</si>
  <si>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</si>
  <si>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</si>
  <si>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</si>
  <si>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</si>
  <si>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</si>
  <si>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</si>
  <si>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</si>
  <si>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</si>
  <si>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</si>
  <si>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</si>
  <si>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</si>
  <si>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</si>
  <si>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</si>
  <si>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</si>
  <si>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</si>
  <si>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</si>
  <si>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</si>
  <si>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</si>
  <si>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</si>
  <si>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</si>
  <si>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</si>
  <si>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</si>
  <si>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</si>
  <si>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</si>
  <si>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</si>
  <si>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</si>
  <si>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</si>
  <si>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</si>
  <si>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</si>
  <si>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</si>
  <si>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</si>
  <si>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</si>
  <si>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</si>
  <si>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</si>
  <si>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</si>
  <si>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</si>
  <si>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</si>
  <si>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</si>
  <si>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</si>
  <si>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</si>
  <si>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</si>
  <si>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</si>
  <si>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</si>
  <si>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</si>
  <si>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</si>
  <si>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</si>
  <si>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</si>
  <si>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</si>
  <si>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</si>
  <si>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</si>
  <si>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</si>
  <si>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</si>
  <si>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</si>
  <si>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</si>
  <si>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</si>
  <si>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</si>
  <si>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</si>
  <si>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</si>
  <si>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</si>
  <si>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</si>
  <si>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</si>
  <si>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</si>
  <si>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</si>
  <si>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</si>
  <si>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</si>
  <si>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</si>
  <si>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</si>
  <si>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</si>
  <si>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</si>
  <si>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</si>
  <si>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</si>
  <si>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</si>
  <si>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</si>
  <si>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</si>
  <si>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</si>
  <si>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</si>
  <si>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</si>
  <si>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</si>
  <si>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</si>
  <si>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</si>
  <si>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</si>
  <si>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</si>
  <si>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</si>
  <si>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</si>
  <si>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</si>
  <si>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</si>
  <si>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</si>
  <si>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</si>
  <si>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</si>
  <si>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</si>
  <si>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</si>
  <si>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</si>
  <si>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</si>
  <si>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</si>
  <si>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</si>
  <si>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</si>
  <si>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</si>
  <si>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</si>
  <si>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</si>
  <si>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</si>
  <si>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</si>
  <si>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</si>
  <si>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</si>
  <si>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</si>
  <si>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</si>
  <si>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</si>
  <si>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</si>
  <si>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</si>
  <si>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</si>
  <si>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</si>
  <si>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</si>
  <si>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</si>
  <si>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</si>
  <si>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</si>
  <si>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</si>
  <si>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</si>
  <si>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</si>
  <si>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</si>
  <si>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</si>
  <si>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</si>
  <si>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</si>
  <si>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</si>
  <si>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</si>
  <si>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</si>
  <si>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</si>
  <si>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</si>
  <si>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</si>
  <si>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</si>
  <si>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</si>
  <si>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</si>
  <si>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</si>
  <si>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</si>
  <si>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</si>
  <si>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</si>
  <si>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</si>
  <si>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</si>
  <si>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</si>
  <si>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</si>
  <si>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</si>
  <si>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</si>
  <si>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</si>
  <si>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</si>
  <si>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</si>
  <si>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</si>
  <si>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</si>
  <si>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</si>
  <si>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</si>
  <si>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</si>
  <si>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</si>
  <si>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</si>
  <si>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</si>
  <si>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</si>
  <si>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</si>
  <si>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</si>
  <si>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</si>
  <si>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</si>
  <si>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</si>
  <si>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</si>
  <si>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</si>
  <si>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</si>
  <si>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</si>
  <si>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</si>
  <si>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</si>
  <si>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</si>
  <si>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</si>
  <si>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</si>
  <si>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</si>
  <si>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</si>
  <si>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</si>
  <si>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</si>
  <si>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</si>
  <si>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</si>
  <si>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</si>
  <si>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</si>
  <si>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</si>
  <si>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</si>
  <si>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</si>
  <si>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</si>
  <si>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</si>
  <si>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</si>
  <si>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</si>
  <si>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</si>
  <si>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</si>
  <si>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</si>
  <si>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</si>
  <si>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</si>
  <si>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</si>
  <si>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</si>
  <si>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</si>
  <si>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</si>
  <si>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</si>
  <si>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</si>
  <si>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</si>
  <si>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</si>
  <si>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</si>
  <si>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</si>
  <si>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</si>
  <si>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</si>
  <si>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</si>
  <si>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</si>
  <si>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</si>
  <si>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</si>
  <si>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</si>
  <si>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</si>
  <si>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</si>
  <si>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</si>
  <si>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</si>
  <si>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</si>
  <si>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</si>
  <si>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</si>
  <si>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</si>
  <si>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</si>
  <si>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</si>
  <si>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</si>
  <si>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</si>
  <si>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</si>
  <si>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</si>
  <si>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</si>
  <si>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</si>
  <si>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</si>
  <si>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</si>
  <si>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</si>
  <si>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</si>
  <si>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</si>
  <si>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</si>
  <si>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</si>
  <si>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</si>
  <si>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</si>
  <si>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</si>
  <si>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</si>
  <si>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</si>
  <si>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</si>
  <si>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</si>
  <si>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</si>
  <si>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</si>
  <si>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</si>
  <si>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</si>
  <si>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</si>
  <si>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</si>
  <si>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</si>
  <si>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</si>
  <si>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</si>
  <si>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</si>
  <si>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</si>
  <si>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</si>
  <si>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</si>
  <si>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</si>
  <si>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</si>
  <si>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</si>
  <si>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</si>
  <si>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</si>
  <si>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</si>
  <si>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</si>
  <si>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</si>
  <si>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</si>
  <si>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</si>
  <si>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</si>
  <si>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</si>
  <si>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</si>
  <si>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</si>
  <si>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</si>
  <si>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</si>
  <si>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</si>
  <si>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</si>
  <si>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</si>
  <si>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</si>
  <si>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</si>
  <si>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</si>
  <si>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</si>
  <si>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</si>
  <si>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</si>
  <si>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</si>
  <si>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</si>
  <si>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</si>
  <si>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</si>
  <si>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</si>
  <si>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</si>
  <si>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</si>
  <si>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</si>
  <si>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</si>
  <si>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</si>
  <si>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</si>
  <si>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</si>
  <si>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</si>
  <si>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</si>
  <si>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</si>
  <si>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</si>
  <si>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</si>
  <si>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</si>
  <si>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</si>
  <si>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</si>
  <si>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</si>
  <si>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</si>
  <si>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</si>
  <si>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</si>
  <si>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</si>
  <si>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</si>
  <si>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</si>
  <si>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</si>
  <si>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</si>
  <si>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</si>
  <si>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</si>
  <si>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</si>
  <si>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</si>
  <si>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</si>
  <si>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</si>
  <si>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</si>
  <si>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</si>
  <si>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</si>
  <si>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</si>
  <si>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</si>
  <si>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</si>
  <si>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</si>
  <si>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</si>
  <si>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</si>
  <si>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</si>
  <si>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</si>
  <si>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</si>
  <si>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</si>
  <si>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</si>
  <si>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</si>
  <si>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</si>
  <si>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</si>
  <si>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</si>
  <si>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2025-11-13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</si>
  <si>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</si>
  <si>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</si>
  <si>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</si>
  <si>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</si>
  <si>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</si>
  <si>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</si>
  <si>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</si>
  <si>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</si>
  <si>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</si>
  <si>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</si>
  <si>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</si>
  <si>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</si>
  <si>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</si>
  <si>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</si>
  <si>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한재운</t>
    <phoneticPr fontId="2" type="noConversion"/>
  </si>
  <si>
    <t>대명오토</t>
  </si>
  <si>
    <t>대명오토</t>
    <phoneticPr fontId="2" type="noConversion"/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</si>
  <si>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</si>
  <si>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</si>
  <si>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</si>
  <si>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</si>
  <si>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</si>
  <si>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</si>
  <si>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대구광역시 동구 팔공로49길 35 107호</t>
    <phoneticPr fontId="2" type="noConversion"/>
  </si>
  <si>
    <t>010-8248-5056</t>
    <phoneticPr fontId="2" type="noConversion"/>
  </si>
  <si>
    <t>0BH_Clone</t>
    <phoneticPr fontId="2" type="noConversion"/>
  </si>
  <si>
    <t>이시아오토(대구)_251113_195945.xlsx</t>
  </si>
  <si>
    <t>이시아오토(대구)_251113_195945.xlsx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</si>
</sst>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2494000</c:v>
                </c:pt>
                <c:pt idx="2">
                  <c:v>400000</c:v>
                </c:pt>
                <c:pt idx="3">
                  <c:v>4000000</c:v>
                </c:pt>
                <c:pt idx="4">
                  <c:v>693000</c:v>
                </c:pt>
                <c:pt idx="5">
                  <c:v>0</c:v>
                </c:pt>
                <c:pt idx="6">
                  <c:v>0</c:v>
                </c:pt>
                <c:pt idx="7">
                  <c:v>2850000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25</c:v>
                      </c:pt>
                      <c:pt idx="1">
                        <c:v>11</c:v>
                      </c:pt>
                      <c:pt idx="2">
                        <c:v>34</c:v>
                      </c:pt>
                      <c:pt idx="3">
                        <c:v>3</c:v>
                      </c:pt>
                      <c:pt idx="4">
                        <c:v>30</c:v>
                      </c:pt>
                      <c:pt idx="5">
                        <c:v>39</c:v>
                      </c:pt>
                      <c:pt idx="6">
                        <c:v>39</c:v>
                      </c:pt>
                      <c:pt idx="7">
                        <c:v>7</c:v>
                      </c:pt>
                      <c:pt idx="8">
                        <c:v>39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2366</v>
      </c>
    </row>
    <row r="4" spans="14:17" x14ac:dyDescent="0.3">
      <c r="Q4" s="95" t="s">
        <v>3080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2366</v>
      </c>
      <c r="Q21" s="227"/>
    </row>
    <row r="22" spans="3:19" x14ac:dyDescent="0.3">
      <c r="C22" s="95" t="s">
        <v>3585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2366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1620</v>
      </c>
      <c r="D1" s="180" t="s">
        <v>36</v>
      </c>
      <c r="E1" s="180" t="s">
        <v>1621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2002</v>
      </c>
      <c r="D2" t="s">
        <v>1996</v>
      </c>
      <c r="E2" s="226">
        <v>21000</v>
      </c>
    </row>
    <row r="3" spans="1:7" x14ac:dyDescent="0.3">
      <c r="A3">
        <v>2</v>
      </c>
      <c r="B3" s="13">
        <v>45747</v>
      </c>
      <c r="C3" t="s">
        <v>2003</v>
      </c>
      <c r="D3" t="s">
        <v>2000</v>
      </c>
      <c r="E3" s="226">
        <v>48210</v>
      </c>
    </row>
    <row r="4" spans="1:7" x14ac:dyDescent="0.3">
      <c r="A4">
        <v>3</v>
      </c>
      <c r="B4" s="13">
        <v>45749</v>
      </c>
      <c r="C4" t="s">
        <v>1999</v>
      </c>
      <c r="D4" t="s">
        <v>1999</v>
      </c>
      <c r="E4" s="226">
        <v>16600</v>
      </c>
      <c r="F4" t="s">
        <v>2004</v>
      </c>
    </row>
    <row r="5" spans="1:7" x14ac:dyDescent="0.3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 x14ac:dyDescent="0.3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 x14ac:dyDescent="0.3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 x14ac:dyDescent="0.3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 x14ac:dyDescent="0.3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 x14ac:dyDescent="0.3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 x14ac:dyDescent="0.3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 x14ac:dyDescent="0.3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 x14ac:dyDescent="0.3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 x14ac:dyDescent="0.3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 x14ac:dyDescent="0.3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 x14ac:dyDescent="0.3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 x14ac:dyDescent="0.3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 x14ac:dyDescent="0.3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 x14ac:dyDescent="0.3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 x14ac:dyDescent="0.3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 x14ac:dyDescent="0.3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 x14ac:dyDescent="0.3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 x14ac:dyDescent="0.3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 x14ac:dyDescent="0.3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 x14ac:dyDescent="0.3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 x14ac:dyDescent="0.3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 x14ac:dyDescent="0.3">
      <c r="A28">
        <v>27</v>
      </c>
      <c r="B28" s="13">
        <v>45778</v>
      </c>
      <c r="C28" t="s">
        <v>1992</v>
      </c>
      <c r="D28" t="s">
        <v>1996</v>
      </c>
      <c r="E28" s="226">
        <v>8000</v>
      </c>
    </row>
    <row r="29" spans="1:6" x14ac:dyDescent="0.3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 x14ac:dyDescent="0.3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 x14ac:dyDescent="0.3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 x14ac:dyDescent="0.3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 x14ac:dyDescent="0.3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 x14ac:dyDescent="0.3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 x14ac:dyDescent="0.3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 x14ac:dyDescent="0.3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 x14ac:dyDescent="0.3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 x14ac:dyDescent="0.3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 x14ac:dyDescent="0.3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 x14ac:dyDescent="0.3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 x14ac:dyDescent="0.3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 x14ac:dyDescent="0.3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 x14ac:dyDescent="0.3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 x14ac:dyDescent="0.3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 x14ac:dyDescent="0.3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 x14ac:dyDescent="0.3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 x14ac:dyDescent="0.3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 x14ac:dyDescent="0.3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 x14ac:dyDescent="0.3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 x14ac:dyDescent="0.3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 x14ac:dyDescent="0.3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 x14ac:dyDescent="0.3">
      <c r="A54">
        <v>53</v>
      </c>
      <c r="B54" s="13">
        <v>45797</v>
      </c>
      <c r="C54" t="s">
        <v>1992</v>
      </c>
      <c r="D54" t="s">
        <v>1996</v>
      </c>
      <c r="E54" s="226">
        <v>8000</v>
      </c>
    </row>
    <row r="55" spans="1:6" x14ac:dyDescent="0.3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 x14ac:dyDescent="0.3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 x14ac:dyDescent="0.3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 x14ac:dyDescent="0.3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 x14ac:dyDescent="0.3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 x14ac:dyDescent="0.3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 x14ac:dyDescent="0.3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 x14ac:dyDescent="0.3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 x14ac:dyDescent="0.3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 x14ac:dyDescent="0.3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 x14ac:dyDescent="0.3">
      <c r="A65">
        <v>64</v>
      </c>
      <c r="B65" s="13">
        <v>45807</v>
      </c>
      <c r="C65" t="s">
        <v>2327</v>
      </c>
      <c r="D65" t="s">
        <v>1779</v>
      </c>
      <c r="E65">
        <v>6000</v>
      </c>
      <c r="F65" t="s">
        <v>2168</v>
      </c>
    </row>
    <row r="66" spans="1:6" x14ac:dyDescent="0.3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 x14ac:dyDescent="0.3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 x14ac:dyDescent="0.3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 x14ac:dyDescent="0.3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2405</v>
      </c>
    </row>
    <row r="70" spans="1:6" x14ac:dyDescent="0.3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2405</v>
      </c>
    </row>
    <row r="71" spans="1:6" x14ac:dyDescent="0.3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 x14ac:dyDescent="0.3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2442</v>
      </c>
    </row>
    <row r="73" spans="1:6" x14ac:dyDescent="0.3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2443</v>
      </c>
    </row>
    <row r="74" spans="1:6" x14ac:dyDescent="0.3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2444</v>
      </c>
    </row>
    <row r="75" spans="1:6" x14ac:dyDescent="0.3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 x14ac:dyDescent="0.3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2445</v>
      </c>
    </row>
    <row r="77" spans="1:6" x14ac:dyDescent="0.3">
      <c r="A77">
        <v>76</v>
      </c>
      <c r="B77" s="13">
        <v>45818</v>
      </c>
      <c r="C77" t="s">
        <v>2053</v>
      </c>
      <c r="D77" t="s">
        <v>1779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2474</v>
      </c>
    </row>
    <row r="79" spans="1:6" x14ac:dyDescent="0.3">
      <c r="A79">
        <v>78</v>
      </c>
      <c r="B79" s="13">
        <v>45820</v>
      </c>
      <c r="C79" t="s">
        <v>2053</v>
      </c>
      <c r="D79" t="s">
        <v>1779</v>
      </c>
      <c r="E79" s="226">
        <v>6000</v>
      </c>
      <c r="F79" t="s">
        <v>1817</v>
      </c>
    </row>
    <row r="80" spans="1:6" x14ac:dyDescent="0.3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2406</v>
      </c>
    </row>
    <row r="81" spans="1:6" x14ac:dyDescent="0.3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 x14ac:dyDescent="0.3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 x14ac:dyDescent="0.3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2506</v>
      </c>
    </row>
    <row r="84" spans="1:6" x14ac:dyDescent="0.3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2513</v>
      </c>
    </row>
    <row r="85" spans="1:6" x14ac:dyDescent="0.3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2513</v>
      </c>
    </row>
    <row r="86" spans="1:6" x14ac:dyDescent="0.3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 x14ac:dyDescent="0.3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2406</v>
      </c>
    </row>
    <row r="88" spans="1:6" x14ac:dyDescent="0.3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2406</v>
      </c>
    </row>
    <row r="89" spans="1:6" x14ac:dyDescent="0.3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2559</v>
      </c>
    </row>
    <row r="90" spans="1:6" x14ac:dyDescent="0.3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 x14ac:dyDescent="0.3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2444</v>
      </c>
    </row>
    <row r="92" spans="1:6" x14ac:dyDescent="0.3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2569</v>
      </c>
    </row>
    <row r="93" spans="1:6" x14ac:dyDescent="0.3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2587</v>
      </c>
    </row>
    <row r="94" spans="1:6" x14ac:dyDescent="0.3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2605</v>
      </c>
    </row>
    <row r="95" spans="1:6" x14ac:dyDescent="0.3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 x14ac:dyDescent="0.3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2498</v>
      </c>
    </row>
    <row r="97" spans="1:6" x14ac:dyDescent="0.3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2498</v>
      </c>
    </row>
    <row r="98" spans="1:6" x14ac:dyDescent="0.3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2624</v>
      </c>
    </row>
    <row r="100" spans="1:6" x14ac:dyDescent="0.3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 x14ac:dyDescent="0.3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2639</v>
      </c>
    </row>
    <row r="103" spans="1:6" x14ac:dyDescent="0.3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2643</v>
      </c>
    </row>
    <row r="105" spans="1:6" x14ac:dyDescent="0.3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2643</v>
      </c>
    </row>
    <row r="106" spans="1:6" x14ac:dyDescent="0.3">
      <c r="A106">
        <v>105</v>
      </c>
      <c r="B106" s="13">
        <v>45833</v>
      </c>
      <c r="C106" t="s">
        <v>2654</v>
      </c>
      <c r="D106" t="s">
        <v>2655</v>
      </c>
      <c r="E106">
        <v>24800</v>
      </c>
      <c r="F106" t="s">
        <v>2656</v>
      </c>
    </row>
    <row r="107" spans="1:6" x14ac:dyDescent="0.3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 x14ac:dyDescent="0.3">
      <c r="A108">
        <v>107</v>
      </c>
      <c r="B108" s="13">
        <v>45835</v>
      </c>
      <c r="C108" t="s">
        <v>2687</v>
      </c>
      <c r="D108" t="s">
        <v>1996</v>
      </c>
      <c r="E108">
        <v>22000</v>
      </c>
    </row>
    <row r="109" spans="1:6" x14ac:dyDescent="0.3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2724</v>
      </c>
    </row>
    <row r="110" spans="1:6" x14ac:dyDescent="0.3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2734</v>
      </c>
    </row>
    <row r="111" spans="1:6" x14ac:dyDescent="0.3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2735</v>
      </c>
    </row>
    <row r="113" spans="1:6" x14ac:dyDescent="0.3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 x14ac:dyDescent="0.3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 x14ac:dyDescent="0.3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 x14ac:dyDescent="0.3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 x14ac:dyDescent="0.3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 x14ac:dyDescent="0.3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2444</v>
      </c>
    </row>
    <row r="119" spans="1:6" x14ac:dyDescent="0.3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2798</v>
      </c>
    </row>
    <row r="120" spans="1:6" x14ac:dyDescent="0.3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 x14ac:dyDescent="0.3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2816</v>
      </c>
    </row>
    <row r="122" spans="1:6" x14ac:dyDescent="0.3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 x14ac:dyDescent="0.3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 x14ac:dyDescent="0.3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2864</v>
      </c>
    </row>
    <row r="125" spans="1:6" x14ac:dyDescent="0.3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2219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45974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1326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4335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4336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4337</v>
      </c>
      <c r="B8" s="424"/>
      <c r="C8" s="424"/>
      <c r="D8" s="424"/>
      <c r="E8" s="425"/>
      <c r="F8" s="426"/>
      <c r="G8" s="427"/>
      <c r="H8" s="427"/>
      <c r="I8" s="428"/>
      <c r="J8" s="434">
        <v>150000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150000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2313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150000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150000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이시아오토(대구)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4339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45974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이시아오토(대구)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대구광역시 동구 팔공로49길 35 107호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010-8248-5056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0BH_Clone</v>
      </c>
      <c r="B31" s="373"/>
      <c r="C31" s="373"/>
      <c r="D31" s="373"/>
      <c r="E31" s="373"/>
      <c r="F31" s="373">
        <f>F8</f>
        <v>0</v>
      </c>
      <c r="G31" s="373"/>
      <c r="H31" s="373"/>
      <c r="I31" s="373"/>
      <c r="J31" s="377">
        <f>J8</f>
        <v>150000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150000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2313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150000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150000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150000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이시아오토(대구)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2318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</v>
      </c>
      <c r="H1" s="107">
        <f>SUM(H2:H2)</f>
        <v>1</v>
      </c>
      <c r="I1" s="107">
        <f>SUM(I2:I2)</f>
        <v>0</v>
      </c>
      <c r="J1" s="107">
        <f>SUM(J2:J2)</f>
        <v>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4311</v>
      </c>
      <c r="C2" s="47" t="s">
        <v>1465</v>
      </c>
      <c r="E2" t="s">
        <v>4334</v>
      </c>
      <c r="G2">
        <v>150000</v>
      </c>
      <c r="H2">
        <v>1</v>
      </c>
      <c r="I2" s="226"/>
      <c r="J2" s="226">
        <v>150000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1971</v>
      </c>
      <c r="B6" s="169" t="s">
        <v>49</v>
      </c>
      <c r="C6" s="170" t="s">
        <v>1329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2311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2308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2309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1554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1555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57"/>
  <sheetViews>
    <sheetView workbookViewId="0">
      <pane xSplit="1" ySplit="1" topLeftCell="B2163" activePane="bottomRight" state="frozen"/>
      <selection activeCell="N26" sqref="N26"/>
      <selection pane="topRight" activeCell="N26" sqref="N26"/>
      <selection pane="bottomLeft" activeCell="N26" sqref="N26"/>
      <selection pane="bottomRight" activeCell="K2166" sqref="K216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1666</v>
      </c>
      <c r="M1" s="261" t="s">
        <v>4</v>
      </c>
      <c r="N1" s="97">
        <v>2258</v>
      </c>
    </row>
    <row r="2" spans="1:15" x14ac:dyDescent="0.3">
      <c r="A2" s="271">
        <v>1</v>
      </c>
      <c r="B2" s="264">
        <v>45723</v>
      </c>
      <c r="C2" s="292" t="s">
        <v>1298</v>
      </c>
      <c r="D2" s="295">
        <v>2821402</v>
      </c>
      <c r="E2" s="292" t="s">
        <v>2698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1433</v>
      </c>
      <c r="D3" s="295" t="s">
        <v>1357</v>
      </c>
      <c r="E3" s="292" t="s">
        <v>1202</v>
      </c>
      <c r="F3" s="263" t="s">
        <v>1357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1433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1387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1395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1395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1395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1438</v>
      </c>
      <c r="D10" s="295" t="s">
        <v>1357</v>
      </c>
      <c r="E10" s="292" t="s">
        <v>1202</v>
      </c>
      <c r="F10" s="263" t="s">
        <v>1357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1395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1440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1445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1395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1448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1450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1452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1454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1395</v>
      </c>
      <c r="D24" s="295" t="s">
        <v>1357</v>
      </c>
      <c r="E24" s="292" t="s">
        <v>1202</v>
      </c>
      <c r="F24" s="263" t="s">
        <v>1357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1395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1440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1395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1395</v>
      </c>
      <c r="D30" s="295" t="s">
        <v>1212</v>
      </c>
      <c r="E30" s="292" t="s">
        <v>1129</v>
      </c>
      <c r="F30" s="269" t="s">
        <v>1460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1357</v>
      </c>
      <c r="E31" s="292" t="s">
        <v>1202</v>
      </c>
      <c r="F31" s="269" t="s">
        <v>1357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1463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1463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1463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1463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1465</v>
      </c>
      <c r="D36" s="295" t="s">
        <v>1255</v>
      </c>
      <c r="E36" s="292" t="s">
        <v>1256</v>
      </c>
      <c r="F36" s="269" t="s">
        <v>1255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1465</v>
      </c>
      <c r="E37" s="292" t="s">
        <v>1466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1261</v>
      </c>
      <c r="E38" s="292" t="s">
        <v>1262</v>
      </c>
      <c r="F38" s="269" t="s">
        <v>1261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1469</v>
      </c>
      <c r="D39" s="295" t="s">
        <v>1357</v>
      </c>
      <c r="E39" s="292" t="s">
        <v>1202</v>
      </c>
      <c r="F39" s="269" t="s">
        <v>1357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1395</v>
      </c>
      <c r="E40" s="292" t="s">
        <v>1471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1395</v>
      </c>
      <c r="E41" s="292" t="s">
        <v>1472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1475</v>
      </c>
      <c r="E43" s="292" t="s">
        <v>1476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1481</v>
      </c>
      <c r="E46" s="292" t="s">
        <v>1482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1465</v>
      </c>
      <c r="E48" s="292" t="s">
        <v>1488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1490</v>
      </c>
      <c r="D49" s="295" t="s">
        <v>1357</v>
      </c>
      <c r="E49" s="292" t="s">
        <v>1491</v>
      </c>
      <c r="F49" s="269" t="s">
        <v>1357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1490</v>
      </c>
      <c r="E50" s="292" t="s">
        <v>1492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1494</v>
      </c>
      <c r="D51" s="295" t="s">
        <v>1357</v>
      </c>
      <c r="E51" s="292" t="s">
        <v>1202</v>
      </c>
      <c r="F51" s="269" t="s">
        <v>1357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1395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1395</v>
      </c>
      <c r="E53" s="292" t="s">
        <v>1497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1374</v>
      </c>
      <c r="E55" s="292" t="s">
        <v>1501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1374</v>
      </c>
      <c r="E56" s="292" t="s">
        <v>1502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1440</v>
      </c>
      <c r="E57" s="292" t="s">
        <v>1504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1440</v>
      </c>
      <c r="E58" s="292" t="s">
        <v>1505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1440</v>
      </c>
      <c r="E59" s="292" t="s">
        <v>1506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1234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1465</v>
      </c>
      <c r="D61" s="295" t="s">
        <v>1357</v>
      </c>
      <c r="E61" s="292" t="s">
        <v>1202</v>
      </c>
      <c r="F61" s="269" t="s">
        <v>1357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1499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1511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1513</v>
      </c>
      <c r="E64" s="292" t="s">
        <v>1514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1513</v>
      </c>
      <c r="E65" s="292" t="s">
        <v>1515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1517</v>
      </c>
      <c r="E66" s="292" t="s">
        <v>1520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1440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1440</v>
      </c>
      <c r="E68" s="292" t="s">
        <v>1404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1302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1234</v>
      </c>
      <c r="D70" s="295" t="s">
        <v>1357</v>
      </c>
      <c r="E70" s="292" t="s">
        <v>1202</v>
      </c>
      <c r="F70" s="269" t="s">
        <v>1357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1369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1357</v>
      </c>
      <c r="E72" s="292" t="s">
        <v>1202</v>
      </c>
      <c r="F72" s="269" t="s">
        <v>1357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1528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1445</v>
      </c>
      <c r="E75" s="292" t="s">
        <v>1531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1357</v>
      </c>
      <c r="E76" s="292" t="s">
        <v>1202</v>
      </c>
      <c r="F76" s="269" t="s">
        <v>1357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1440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1440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1537</v>
      </c>
      <c r="E80" s="292" t="s">
        <v>1538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1540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1357</v>
      </c>
      <c r="E82" s="292" t="s">
        <v>1202</v>
      </c>
      <c r="F82" s="269" t="s">
        <v>1357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1387</v>
      </c>
      <c r="D84" s="295" t="s">
        <v>1357</v>
      </c>
      <c r="E84" s="292" t="s">
        <v>1202</v>
      </c>
      <c r="F84" s="269" t="s">
        <v>1357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1391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1547</v>
      </c>
      <c r="D87" s="295" t="s">
        <v>1357</v>
      </c>
      <c r="E87" s="292" t="s">
        <v>1202</v>
      </c>
      <c r="F87" s="269" t="s">
        <v>1357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1547</v>
      </c>
      <c r="E88" s="292" t="s">
        <v>1492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1550</v>
      </c>
      <c r="E89" s="292" t="s">
        <v>1551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1550</v>
      </c>
      <c r="D90" s="295" t="s">
        <v>1357</v>
      </c>
      <c r="E90" s="292" t="s">
        <v>1202</v>
      </c>
      <c r="F90" s="269" t="s">
        <v>1357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1557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1537</v>
      </c>
      <c r="D92" s="295" t="s">
        <v>1357</v>
      </c>
      <c r="E92" s="292" t="s">
        <v>1202</v>
      </c>
      <c r="F92" s="269" t="s">
        <v>1357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1537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1573</v>
      </c>
      <c r="E96" s="292" t="s">
        <v>1574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1573</v>
      </c>
      <c r="E97" s="292" t="s">
        <v>1515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1576</v>
      </c>
      <c r="E98" s="292" t="s">
        <v>1577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1576</v>
      </c>
      <c r="E99" s="292" t="s">
        <v>1646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1576</v>
      </c>
      <c r="D100" s="295" t="s">
        <v>1261</v>
      </c>
      <c r="E100" s="292" t="s">
        <v>1262</v>
      </c>
      <c r="F100" s="269" t="s">
        <v>1261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1357</v>
      </c>
      <c r="E101" s="292" t="s">
        <v>1202</v>
      </c>
      <c r="F101" s="269" t="s">
        <v>1357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1582</v>
      </c>
      <c r="E102" s="292" t="s">
        <v>1583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1582</v>
      </c>
      <c r="D103" s="295">
        <v>415054509</v>
      </c>
      <c r="E103" s="292" t="s">
        <v>2518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1582</v>
      </c>
      <c r="E104" s="292" t="s">
        <v>1584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1582</v>
      </c>
      <c r="E105" s="292" t="s">
        <v>1585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1582</v>
      </c>
      <c r="D106" s="295" t="s">
        <v>1559</v>
      </c>
      <c r="E106" s="292" t="s">
        <v>1204</v>
      </c>
      <c r="F106" s="269" t="s">
        <v>1559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1463</v>
      </c>
      <c r="E107" s="292" t="s">
        <v>1588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1357</v>
      </c>
      <c r="E108" s="292" t="s">
        <v>1202</v>
      </c>
      <c r="F108" s="269" t="s">
        <v>1357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1592</v>
      </c>
      <c r="D112" s="295" t="s">
        <v>1357</v>
      </c>
      <c r="E112" s="292" t="s">
        <v>1202</v>
      </c>
      <c r="F112" s="269" t="s">
        <v>1357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1594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1448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1448</v>
      </c>
      <c r="D115" s="295" t="s">
        <v>1255</v>
      </c>
      <c r="E115" s="292" t="s">
        <v>1256</v>
      </c>
      <c r="F115" s="269" t="s">
        <v>1255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1448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1448</v>
      </c>
      <c r="E117" s="292" t="s">
        <v>1596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1598</v>
      </c>
      <c r="E118" s="292" t="s">
        <v>1599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1573</v>
      </c>
      <c r="D121" s="295">
        <v>415072909</v>
      </c>
      <c r="E121" s="292" t="s">
        <v>2518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1573</v>
      </c>
      <c r="D122" s="295" t="s">
        <v>1622</v>
      </c>
      <c r="E122" s="292" t="s">
        <v>1623</v>
      </c>
      <c r="F122" s="269" t="s">
        <v>1622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1573</v>
      </c>
      <c r="D123" s="295">
        <v>415072909</v>
      </c>
      <c r="E123" s="292" t="s">
        <v>2518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1573</v>
      </c>
      <c r="D124" s="295" t="s">
        <v>1622</v>
      </c>
      <c r="E124" s="292" t="s">
        <v>1623</v>
      </c>
      <c r="F124" s="269" t="s">
        <v>1622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1573</v>
      </c>
      <c r="E125" s="292" t="s">
        <v>1625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1445</v>
      </c>
      <c r="E126" s="292" t="s">
        <v>1632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1537</v>
      </c>
      <c r="D127" s="295" t="s">
        <v>1357</v>
      </c>
      <c r="E127" s="292" t="s">
        <v>1202</v>
      </c>
      <c r="F127" s="269" t="s">
        <v>1357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1537</v>
      </c>
      <c r="E128" s="292" t="s">
        <v>1492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1537</v>
      </c>
      <c r="E129" s="292" t="s">
        <v>1635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1395</v>
      </c>
      <c r="D130" s="295" t="s">
        <v>1199</v>
      </c>
      <c r="E130" s="292" t="s">
        <v>1639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1640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1654</v>
      </c>
      <c r="E133" s="292" t="s">
        <v>1657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1659</v>
      </c>
      <c r="E134" s="292" t="s">
        <v>1660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1537</v>
      </c>
      <c r="E135" s="292" t="s">
        <v>1662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1445</v>
      </c>
      <c r="E136" s="292" t="s">
        <v>1664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1667</v>
      </c>
      <c r="E137" s="292" t="s">
        <v>1670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1672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1440</v>
      </c>
      <c r="E140" s="292" t="s">
        <v>1680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1440</v>
      </c>
      <c r="E141" s="292" t="s">
        <v>1681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1440</v>
      </c>
      <c r="E142" s="292" t="s">
        <v>1684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1440</v>
      </c>
      <c r="E143" s="292" t="s">
        <v>1685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1440</v>
      </c>
      <c r="E144" s="292" t="s">
        <v>1686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1329</v>
      </c>
      <c r="E145" s="292" t="s">
        <v>1823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1465</v>
      </c>
      <c r="E146" s="292" t="s">
        <v>1691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1718</v>
      </c>
      <c r="D147" s="295">
        <v>2800802</v>
      </c>
      <c r="E147" s="292" t="s">
        <v>1713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1718</v>
      </c>
      <c r="D148" s="295" t="s">
        <v>1711</v>
      </c>
      <c r="E148" s="292" t="s">
        <v>1712</v>
      </c>
      <c r="F148" s="269" t="s">
        <v>1711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1718</v>
      </c>
      <c r="D149" s="295">
        <v>7252703114</v>
      </c>
      <c r="E149" s="292" t="s">
        <v>1699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1718</v>
      </c>
      <c r="D150" s="295" t="s">
        <v>1700</v>
      </c>
      <c r="E150" s="292" t="s">
        <v>1701</v>
      </c>
      <c r="F150" s="269" t="s">
        <v>1700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1718</v>
      </c>
      <c r="D151" s="295" t="s">
        <v>1261</v>
      </c>
      <c r="E151" s="292" t="s">
        <v>1262</v>
      </c>
      <c r="F151" s="269" t="s">
        <v>1261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1537</v>
      </c>
      <c r="E152" s="292" t="s">
        <v>1740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1576</v>
      </c>
      <c r="E153" s="292" t="s">
        <v>1742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1395</v>
      </c>
      <c r="D154" s="295" t="s">
        <v>1357</v>
      </c>
      <c r="E154" s="292" t="s">
        <v>1202</v>
      </c>
      <c r="F154" s="269" t="s">
        <v>1357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1395</v>
      </c>
      <c r="E155" s="292" t="s">
        <v>1492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1743</v>
      </c>
      <c r="E156" s="292" t="s">
        <v>1744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1718</v>
      </c>
      <c r="D159" s="295">
        <v>415090409</v>
      </c>
      <c r="E159" s="292" t="s">
        <v>2518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1559</v>
      </c>
      <c r="E160" s="292" t="s">
        <v>1204</v>
      </c>
      <c r="F160" s="269" t="s">
        <v>1559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1786</v>
      </c>
      <c r="E161" s="292" t="s">
        <v>1790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1786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1786</v>
      </c>
      <c r="D163" s="295" t="s">
        <v>1791</v>
      </c>
      <c r="E163" s="292" t="s">
        <v>1792</v>
      </c>
      <c r="F163" s="269" t="s">
        <v>1791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1718</v>
      </c>
      <c r="D164" s="295" t="s">
        <v>1255</v>
      </c>
      <c r="E164" s="292" t="s">
        <v>1256</v>
      </c>
      <c r="F164" s="269" t="s">
        <v>1255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1718</v>
      </c>
      <c r="D165" s="295">
        <v>415090409</v>
      </c>
      <c r="E165" s="292" t="s">
        <v>2518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1395</v>
      </c>
      <c r="D166" s="295" t="s">
        <v>1748</v>
      </c>
      <c r="E166" s="292" t="s">
        <v>1202</v>
      </c>
      <c r="F166" s="269" t="s">
        <v>1748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1475</v>
      </c>
      <c r="E167" s="292" t="s">
        <v>1796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1445</v>
      </c>
      <c r="D168" s="295">
        <v>927156</v>
      </c>
      <c r="E168" s="292" t="s">
        <v>1798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1445</v>
      </c>
      <c r="D169" s="295" t="s">
        <v>1799</v>
      </c>
      <c r="E169" s="292" t="s">
        <v>1571</v>
      </c>
      <c r="F169" s="269" t="s">
        <v>1799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1801</v>
      </c>
      <c r="D170" s="295" t="s">
        <v>1199</v>
      </c>
      <c r="E170" s="292" t="s">
        <v>1639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1805</v>
      </c>
      <c r="D172" s="295" t="s">
        <v>1762</v>
      </c>
      <c r="E172" s="292" t="s">
        <v>1760</v>
      </c>
      <c r="F172" s="269" t="s">
        <v>1762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1805</v>
      </c>
      <c r="D173" s="295" t="s">
        <v>1759</v>
      </c>
      <c r="E173" s="292" t="s">
        <v>1760</v>
      </c>
      <c r="F173" s="269" t="s">
        <v>1759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1576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1808</v>
      </c>
      <c r="E175" s="292" t="s">
        <v>1739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1718</v>
      </c>
      <c r="D176" s="295" t="s">
        <v>1255</v>
      </c>
      <c r="E176" s="292" t="s">
        <v>1256</v>
      </c>
      <c r="F176" s="269" t="s">
        <v>1255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1718</v>
      </c>
      <c r="D177" s="295" t="s">
        <v>1818</v>
      </c>
      <c r="E177" s="292" t="s">
        <v>1819</v>
      </c>
      <c r="F177" s="269" t="s">
        <v>1818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1718</v>
      </c>
      <c r="D178" s="295" t="s">
        <v>1791</v>
      </c>
      <c r="E178" s="292" t="s">
        <v>1792</v>
      </c>
      <c r="F178" s="269" t="s">
        <v>1791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1537</v>
      </c>
      <c r="E179" s="292" t="s">
        <v>1740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1454</v>
      </c>
      <c r="E180" s="292" t="s">
        <v>1740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1801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1465</v>
      </c>
      <c r="E182" s="292" t="s">
        <v>1835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1834</v>
      </c>
      <c r="E183" s="292" t="s">
        <v>1837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1748</v>
      </c>
      <c r="E184" s="292" t="s">
        <v>1202</v>
      </c>
      <c r="F184" s="269" t="s">
        <v>1748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1573</v>
      </c>
      <c r="D186" s="295" t="s">
        <v>1748</v>
      </c>
      <c r="E186" s="292" t="s">
        <v>1202</v>
      </c>
      <c r="F186" s="269" t="s">
        <v>1748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1700</v>
      </c>
      <c r="E187" s="292" t="s">
        <v>1701</v>
      </c>
      <c r="F187" s="269" t="s">
        <v>1700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1791</v>
      </c>
      <c r="E189" s="292" t="s">
        <v>1792</v>
      </c>
      <c r="F189" s="269" t="s">
        <v>1791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1818</v>
      </c>
      <c r="E190" s="292" t="s">
        <v>1819</v>
      </c>
      <c r="F190" s="269" t="s">
        <v>1818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1843</v>
      </c>
      <c r="D191" s="295" t="s">
        <v>1845</v>
      </c>
      <c r="E191" s="292" t="s">
        <v>1846</v>
      </c>
      <c r="F191" s="269" t="s">
        <v>1845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1851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2518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1805</v>
      </c>
      <c r="D196" s="295" t="s">
        <v>3660</v>
      </c>
      <c r="E196" s="292" t="s">
        <v>1855</v>
      </c>
      <c r="F196" s="269" t="s">
        <v>3660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1857</v>
      </c>
      <c r="E197" s="292" t="s">
        <v>1858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1863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1863</v>
      </c>
      <c r="E199" s="292" t="s">
        <v>1865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1866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1866</v>
      </c>
      <c r="E201" s="292" t="s">
        <v>1868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1872</v>
      </c>
      <c r="E202" s="292" t="s">
        <v>1739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1718</v>
      </c>
      <c r="D203" s="295" t="s">
        <v>1869</v>
      </c>
      <c r="E203" s="292" t="s">
        <v>1870</v>
      </c>
      <c r="F203" s="269" t="s">
        <v>1869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1667</v>
      </c>
      <c r="D204" s="295" t="s">
        <v>1200</v>
      </c>
      <c r="E204" s="292" t="s">
        <v>1640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1805</v>
      </c>
      <c r="D205" s="295" t="s">
        <v>1762</v>
      </c>
      <c r="E205" s="292" t="s">
        <v>1760</v>
      </c>
      <c r="F205" s="269" t="s">
        <v>1762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1805</v>
      </c>
      <c r="D206" s="295" t="s">
        <v>1759</v>
      </c>
      <c r="E206" s="292" t="s">
        <v>1760</v>
      </c>
      <c r="F206" s="269" t="s">
        <v>1759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1886</v>
      </c>
      <c r="E207" s="292" t="s">
        <v>1889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1890</v>
      </c>
      <c r="D208" s="295" t="s">
        <v>1748</v>
      </c>
      <c r="E208" s="292" t="s">
        <v>1202</v>
      </c>
      <c r="F208" s="269" t="s">
        <v>1748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1748</v>
      </c>
      <c r="E209" s="292" t="s">
        <v>1202</v>
      </c>
      <c r="F209" s="269" t="s">
        <v>1748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1748</v>
      </c>
      <c r="E210" s="292" t="s">
        <v>1202</v>
      </c>
      <c r="F210" s="269" t="s">
        <v>1748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1594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1576</v>
      </c>
      <c r="D212" s="295" t="s">
        <v>1897</v>
      </c>
      <c r="E212" s="292" t="s">
        <v>1898</v>
      </c>
      <c r="F212" s="269" t="s">
        <v>1897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1395</v>
      </c>
      <c r="E213" s="292" t="s">
        <v>1912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1537</v>
      </c>
      <c r="E214" s="292" t="s">
        <v>1915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1438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1667</v>
      </c>
      <c r="D216" s="295" t="s">
        <v>1748</v>
      </c>
      <c r="E216" s="292" t="s">
        <v>1202</v>
      </c>
      <c r="F216" s="269" t="s">
        <v>1748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1667</v>
      </c>
      <c r="E217" s="292" t="s">
        <v>1492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1718</v>
      </c>
      <c r="E218" s="292" t="s">
        <v>1922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1718</v>
      </c>
      <c r="D219" s="295" t="s">
        <v>1261</v>
      </c>
      <c r="E219" s="292" t="s">
        <v>1262</v>
      </c>
      <c r="F219" s="269" t="s">
        <v>1261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1594</v>
      </c>
      <c r="D220" s="295" t="s">
        <v>1919</v>
      </c>
      <c r="E220" s="292" t="s">
        <v>1577</v>
      </c>
      <c r="F220" s="269" t="s">
        <v>1919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1927</v>
      </c>
      <c r="D221" s="295" t="s">
        <v>1791</v>
      </c>
      <c r="E221" s="292" t="s">
        <v>1792</v>
      </c>
      <c r="F221" s="269" t="s">
        <v>1791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1927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1927</v>
      </c>
      <c r="D223" s="295" t="s">
        <v>1897</v>
      </c>
      <c r="E223" s="292" t="s">
        <v>1898</v>
      </c>
      <c r="F223" s="269" t="s">
        <v>1897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1938</v>
      </c>
      <c r="D224" s="295" t="s">
        <v>1929</v>
      </c>
      <c r="E224" s="292" t="s">
        <v>1930</v>
      </c>
      <c r="F224" s="269" t="s">
        <v>1929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1938</v>
      </c>
      <c r="D225" s="295" t="s">
        <v>1932</v>
      </c>
      <c r="E225" s="292" t="s">
        <v>1931</v>
      </c>
      <c r="F225" s="269" t="s">
        <v>1932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1395</v>
      </c>
      <c r="E226" s="292" t="s">
        <v>1740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1395</v>
      </c>
      <c r="D227" s="295">
        <v>24152333903</v>
      </c>
      <c r="E227" s="292" t="s">
        <v>1545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1576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1573</v>
      </c>
      <c r="D229" s="295">
        <v>415072909</v>
      </c>
      <c r="E229" s="292" t="s">
        <v>2518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1573</v>
      </c>
      <c r="D230" s="295" t="s">
        <v>1200</v>
      </c>
      <c r="E230" s="292" t="s">
        <v>1640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1573</v>
      </c>
      <c r="D231" s="295" t="s">
        <v>1799</v>
      </c>
      <c r="E231" s="292" t="s">
        <v>1571</v>
      </c>
      <c r="F231" s="269" t="s">
        <v>1799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1718</v>
      </c>
      <c r="E232" s="292" t="s">
        <v>1949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1445</v>
      </c>
      <c r="D233" s="295" t="s">
        <v>1952</v>
      </c>
      <c r="E233" s="292" t="s">
        <v>1953</v>
      </c>
      <c r="F233" s="269" t="s">
        <v>1952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1445</v>
      </c>
      <c r="D234" s="295" t="s">
        <v>1799</v>
      </c>
      <c r="E234" s="292" t="s">
        <v>1571</v>
      </c>
      <c r="F234" s="269" t="s">
        <v>1799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1594</v>
      </c>
      <c r="E235" s="292" t="s">
        <v>2573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1957</v>
      </c>
      <c r="D236" s="295" t="s">
        <v>3660</v>
      </c>
      <c r="E236" s="292" t="s">
        <v>1855</v>
      </c>
      <c r="F236" s="269" t="s">
        <v>3660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1957</v>
      </c>
      <c r="E237" s="292" t="s">
        <v>1961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1957</v>
      </c>
      <c r="E238" s="292" t="s">
        <v>1962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1957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1957</v>
      </c>
      <c r="D240" s="295">
        <v>50229</v>
      </c>
      <c r="E240" s="292" t="s">
        <v>1638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1957</v>
      </c>
      <c r="D241" s="295" t="s">
        <v>1791</v>
      </c>
      <c r="E241" s="292" t="s">
        <v>1792</v>
      </c>
      <c r="F241" s="269" t="s">
        <v>1791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1550</v>
      </c>
      <c r="D242" s="295" t="s">
        <v>1700</v>
      </c>
      <c r="E242" s="292" t="s">
        <v>1701</v>
      </c>
      <c r="F242" s="269" t="s">
        <v>1700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1440</v>
      </c>
      <c r="D243" s="295">
        <v>2800802</v>
      </c>
      <c r="E243" s="292" t="s">
        <v>1713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1440</v>
      </c>
      <c r="E244" s="292" t="s">
        <v>1969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1440</v>
      </c>
      <c r="E245" s="292" t="s">
        <v>1970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1387</v>
      </c>
      <c r="E246" s="292" t="s">
        <v>1531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1973</v>
      </c>
      <c r="D247" s="295" t="s">
        <v>1197</v>
      </c>
      <c r="E247" s="292" t="s">
        <v>1974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1976</v>
      </c>
      <c r="D248" s="295" t="s">
        <v>1818</v>
      </c>
      <c r="E248" s="292" t="s">
        <v>1819</v>
      </c>
      <c r="F248" s="269" t="s">
        <v>1818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1976</v>
      </c>
      <c r="D249" s="295" t="s">
        <v>1255</v>
      </c>
      <c r="E249" s="292" t="s">
        <v>1256</v>
      </c>
      <c r="F249" s="269" t="s">
        <v>1255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1976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1927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1445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1786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1440</v>
      </c>
      <c r="E254" s="292" t="s">
        <v>1981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1805</v>
      </c>
      <c r="E255" s="292" t="s">
        <v>1492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1299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1342</v>
      </c>
      <c r="E257" s="292" t="s">
        <v>1666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1517</v>
      </c>
      <c r="E258" s="292" t="s">
        <v>1520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1517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1440</v>
      </c>
      <c r="E260" s="292" t="s">
        <v>1531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1988</v>
      </c>
      <c r="E262" s="292" t="s">
        <v>1204</v>
      </c>
      <c r="F262" s="269" t="s">
        <v>1988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1528</v>
      </c>
      <c r="E264" s="292" t="s">
        <v>1739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1440</v>
      </c>
      <c r="E265" s="292" t="s">
        <v>1994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2011</v>
      </c>
      <c r="D266" s="295" t="s">
        <v>1791</v>
      </c>
      <c r="E266" s="292" t="s">
        <v>1792</v>
      </c>
      <c r="F266" s="269" t="s">
        <v>1791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2011</v>
      </c>
      <c r="D267" s="295" t="s">
        <v>1818</v>
      </c>
      <c r="E267" s="292" t="s">
        <v>1819</v>
      </c>
      <c r="F267" s="269" t="s">
        <v>1818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2011</v>
      </c>
      <c r="D268" s="295" t="s">
        <v>2008</v>
      </c>
      <c r="E268" s="292" t="s">
        <v>2009</v>
      </c>
      <c r="F268" s="269" t="s">
        <v>2008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2011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2011</v>
      </c>
      <c r="E270" s="292" t="s">
        <v>2010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2011</v>
      </c>
      <c r="D271" s="295">
        <v>50229</v>
      </c>
      <c r="E271" s="292" t="s">
        <v>1638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2011</v>
      </c>
      <c r="D272" s="295" t="s">
        <v>1897</v>
      </c>
      <c r="E272" s="292" t="s">
        <v>1898</v>
      </c>
      <c r="F272" s="269" t="s">
        <v>1897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1805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1718</v>
      </c>
      <c r="D274" s="295" t="s">
        <v>1748</v>
      </c>
      <c r="E274" s="292" t="s">
        <v>1202</v>
      </c>
      <c r="F274" s="269" t="s">
        <v>1748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1718</v>
      </c>
      <c r="E275" s="292" t="s">
        <v>1492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2020</v>
      </c>
      <c r="D276" s="295" t="s">
        <v>2018</v>
      </c>
      <c r="E276" s="292" t="s">
        <v>2019</v>
      </c>
      <c r="F276" s="269" t="s">
        <v>2018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1976</v>
      </c>
      <c r="D277" s="295" t="s">
        <v>1199</v>
      </c>
      <c r="E277" s="292" t="s">
        <v>1639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1743</v>
      </c>
      <c r="D278" s="295" t="s">
        <v>1215</v>
      </c>
      <c r="E278" s="292" t="s">
        <v>2023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1976</v>
      </c>
      <c r="D279" s="295" t="s">
        <v>1261</v>
      </c>
      <c r="E279" s="292" t="s">
        <v>1262</v>
      </c>
      <c r="F279" s="269" t="s">
        <v>1261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1976</v>
      </c>
      <c r="D280" s="295" t="s">
        <v>1700</v>
      </c>
      <c r="E280" s="292" t="s">
        <v>1701</v>
      </c>
      <c r="F280" s="269" t="s">
        <v>1700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1976</v>
      </c>
      <c r="E281" s="292" t="s">
        <v>2025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1976</v>
      </c>
      <c r="D282" s="295" t="s">
        <v>1791</v>
      </c>
      <c r="E282" s="292" t="s">
        <v>1792</v>
      </c>
      <c r="F282" s="269" t="s">
        <v>1791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1440</v>
      </c>
      <c r="E284" s="292" t="s">
        <v>2028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2030</v>
      </c>
      <c r="E285" s="292" t="s">
        <v>2033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2035</v>
      </c>
      <c r="D286" s="295" t="s">
        <v>1200</v>
      </c>
      <c r="E286" s="292" t="s">
        <v>1640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2035</v>
      </c>
      <c r="D287" s="295" t="s">
        <v>1799</v>
      </c>
      <c r="E287" s="292" t="s">
        <v>1571</v>
      </c>
      <c r="F287" s="269" t="s">
        <v>1799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2035</v>
      </c>
      <c r="D288" s="295" t="s">
        <v>1716</v>
      </c>
      <c r="E288" s="292" t="s">
        <v>1717</v>
      </c>
      <c r="F288" s="269" t="s">
        <v>1716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2039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1573</v>
      </c>
      <c r="E290" s="292" t="s">
        <v>1739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2042</v>
      </c>
      <c r="E291" s="292" t="s">
        <v>2045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1550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2049</v>
      </c>
      <c r="E294" s="292" t="s">
        <v>1666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1573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2035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1976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1976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1537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1973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1440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1463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2011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1395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1576</v>
      </c>
      <c r="D307" s="295" t="s">
        <v>1200</v>
      </c>
      <c r="E307" s="292" t="s">
        <v>1640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1576</v>
      </c>
      <c r="D308" s="295" t="s">
        <v>1799</v>
      </c>
      <c r="E308" s="292" t="s">
        <v>1571</v>
      </c>
      <c r="F308" s="269" t="s">
        <v>1799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1576</v>
      </c>
      <c r="E309" s="292" t="s">
        <v>2052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1550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2030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1718</v>
      </c>
      <c r="D312" s="295">
        <v>2800802</v>
      </c>
      <c r="E312" s="292" t="s">
        <v>1713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1576</v>
      </c>
      <c r="D313" s="295" t="s">
        <v>1261</v>
      </c>
      <c r="E313" s="292" t="s">
        <v>1262</v>
      </c>
      <c r="F313" s="269" t="s">
        <v>1261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1973</v>
      </c>
      <c r="D314" s="295" t="s">
        <v>1197</v>
      </c>
      <c r="E314" s="292" t="s">
        <v>1974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1395</v>
      </c>
      <c r="D315" s="295">
        <v>415072909</v>
      </c>
      <c r="E315" s="298" t="s">
        <v>2518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1395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1973</v>
      </c>
      <c r="E317" s="292" t="s">
        <v>1666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1576</v>
      </c>
      <c r="E318" s="292" t="s">
        <v>2073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1957</v>
      </c>
      <c r="E319" s="292" t="s">
        <v>2071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2074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1537</v>
      </c>
      <c r="D322" s="295">
        <v>501220522</v>
      </c>
      <c r="E322" s="292" t="s">
        <v>2019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1395</v>
      </c>
      <c r="D323" s="295" t="s">
        <v>1748</v>
      </c>
      <c r="E323" s="292" t="s">
        <v>1202</v>
      </c>
      <c r="F323" s="269" t="s">
        <v>1748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1465</v>
      </c>
      <c r="E324" s="292" t="s">
        <v>1492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1395</v>
      </c>
      <c r="D325" s="295" t="s">
        <v>1748</v>
      </c>
      <c r="E325" s="292" t="s">
        <v>2080</v>
      </c>
      <c r="F325" s="269" t="s">
        <v>1748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1957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1302</v>
      </c>
      <c r="D327" s="295" t="s">
        <v>1199</v>
      </c>
      <c r="E327" s="292" t="s">
        <v>1639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1302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2085</v>
      </c>
      <c r="D329" s="295" t="s">
        <v>1200</v>
      </c>
      <c r="E329" s="292" t="s">
        <v>1640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2085</v>
      </c>
      <c r="D330" s="295" t="s">
        <v>1799</v>
      </c>
      <c r="E330" s="292" t="s">
        <v>1571</v>
      </c>
      <c r="F330" s="269" t="s">
        <v>1799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1302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1550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2085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1395</v>
      </c>
      <c r="D335" s="295">
        <v>1068298046</v>
      </c>
      <c r="E335" s="292" t="s">
        <v>2087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1395</v>
      </c>
      <c r="D336" s="295">
        <v>24152333907</v>
      </c>
      <c r="E336" s="292" t="s">
        <v>1545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2085</v>
      </c>
      <c r="D337" s="295" t="s">
        <v>1200</v>
      </c>
      <c r="E337" s="292" t="s">
        <v>1640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2085</v>
      </c>
      <c r="D338" s="295" t="s">
        <v>1799</v>
      </c>
      <c r="E338" s="292" t="s">
        <v>1571</v>
      </c>
      <c r="F338" s="269" t="s">
        <v>1799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2091</v>
      </c>
      <c r="D339" s="295" t="s">
        <v>1200</v>
      </c>
      <c r="E339" s="292" t="s">
        <v>1640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2091</v>
      </c>
      <c r="D340" s="295" t="s">
        <v>1799</v>
      </c>
      <c r="E340" s="292" t="s">
        <v>1571</v>
      </c>
      <c r="F340" s="269" t="s">
        <v>1799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2091</v>
      </c>
      <c r="D341" s="295" t="s">
        <v>1716</v>
      </c>
      <c r="E341" s="292" t="s">
        <v>1717</v>
      </c>
      <c r="F341" s="269" t="s">
        <v>1716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2091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2085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1324</v>
      </c>
      <c r="E344" s="292" t="s">
        <v>2207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1718</v>
      </c>
      <c r="D345" s="295" t="s">
        <v>1212</v>
      </c>
      <c r="E345" s="292" t="s">
        <v>1129</v>
      </c>
      <c r="F345" s="269" t="s">
        <v>1460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2074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1465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1718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1528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1302</v>
      </c>
      <c r="D351" s="295" t="s">
        <v>2105</v>
      </c>
      <c r="E351" s="292" t="s">
        <v>1961</v>
      </c>
      <c r="F351" s="269" t="s">
        <v>2105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2011</v>
      </c>
      <c r="D352" s="295">
        <v>36050661</v>
      </c>
      <c r="E352" s="292" t="s">
        <v>2103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1277</v>
      </c>
      <c r="E353" s="292" t="s">
        <v>2337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1277</v>
      </c>
      <c r="D354" s="295" t="s">
        <v>2338</v>
      </c>
      <c r="E354" s="292" t="s">
        <v>2083</v>
      </c>
      <c r="F354" s="269" t="s">
        <v>2338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1786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1302</v>
      </c>
      <c r="E356" s="292" t="s">
        <v>1742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2011</v>
      </c>
      <c r="E357" s="292" t="s">
        <v>1742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1786</v>
      </c>
      <c r="E358" s="292" t="s">
        <v>1742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2302</v>
      </c>
      <c r="E359" s="292" t="s">
        <v>1491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2302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1440</v>
      </c>
      <c r="D361" s="295">
        <v>1068298046</v>
      </c>
      <c r="E361" s="292" t="s">
        <v>2087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1973</v>
      </c>
      <c r="D362" s="295" t="s">
        <v>1748</v>
      </c>
      <c r="E362" s="292" t="s">
        <v>1202</v>
      </c>
      <c r="F362" s="269" t="s">
        <v>1748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1594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1450</v>
      </c>
      <c r="E364" s="292" t="s">
        <v>2122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1450</v>
      </c>
      <c r="E365" s="292" t="s">
        <v>2123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2125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2129</v>
      </c>
      <c r="D367" s="295" t="s">
        <v>1200</v>
      </c>
      <c r="E367" s="292" t="s">
        <v>1640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1395</v>
      </c>
      <c r="E368" s="292" t="s">
        <v>2133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2129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1594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1445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1445</v>
      </c>
      <c r="D372" s="295">
        <v>1068298046</v>
      </c>
      <c r="E372" s="292" t="s">
        <v>2087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1927</v>
      </c>
      <c r="D373" s="295">
        <v>1068298046</v>
      </c>
      <c r="E373" s="292" t="s">
        <v>2087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1927</v>
      </c>
      <c r="D374" s="295">
        <v>24152333903</v>
      </c>
      <c r="E374" s="292" t="s">
        <v>1545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1326</v>
      </c>
      <c r="D375" s="295" t="s">
        <v>2158</v>
      </c>
      <c r="E375" s="292" t="s">
        <v>2159</v>
      </c>
      <c r="F375" s="269" t="s">
        <v>2158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1786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2141</v>
      </c>
      <c r="D377" s="295">
        <v>7252703114</v>
      </c>
      <c r="E377" s="292" t="s">
        <v>1699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2145</v>
      </c>
      <c r="D378" s="295">
        <v>2800802</v>
      </c>
      <c r="E378" s="292" t="s">
        <v>1713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1395</v>
      </c>
      <c r="E379" s="292" t="s">
        <v>2148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1302</v>
      </c>
      <c r="E380" s="292" t="s">
        <v>2151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2141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1667</v>
      </c>
      <c r="E382" s="292" t="s">
        <v>2154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1374</v>
      </c>
      <c r="E383" s="292" t="s">
        <v>2156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1973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1374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1718</v>
      </c>
      <c r="E386" s="292" t="s">
        <v>2033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1718</v>
      </c>
      <c r="E387" s="292" t="s">
        <v>2160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1445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1302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2167</v>
      </c>
      <c r="D390" s="295" t="s">
        <v>1212</v>
      </c>
      <c r="E390" s="292" t="s">
        <v>1129</v>
      </c>
      <c r="F390" s="269" t="s">
        <v>1460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2518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1786</v>
      </c>
      <c r="E392" s="292" t="s">
        <v>1739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1594</v>
      </c>
      <c r="D393" s="295" t="s">
        <v>1357</v>
      </c>
      <c r="E393" s="292" t="s">
        <v>1202</v>
      </c>
      <c r="F393" s="269" t="s">
        <v>1357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1594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1576</v>
      </c>
      <c r="D395" s="295" t="s">
        <v>1206</v>
      </c>
      <c r="E395" s="292" t="s">
        <v>2183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2085</v>
      </c>
      <c r="D396" s="295" t="s">
        <v>1200</v>
      </c>
      <c r="E396" s="292" t="s">
        <v>2176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2085</v>
      </c>
      <c r="D397" s="295" t="s">
        <v>1799</v>
      </c>
      <c r="E397" s="292" t="s">
        <v>2177</v>
      </c>
      <c r="F397" s="269" t="s">
        <v>1799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2085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1537</v>
      </c>
      <c r="E399" s="292" t="s">
        <v>2006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2097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1743</v>
      </c>
      <c r="D401" s="295">
        <v>50229</v>
      </c>
      <c r="E401" s="292" t="s">
        <v>2186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2211</v>
      </c>
      <c r="E402" s="292" t="s">
        <v>2209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1866</v>
      </c>
      <c r="D403" s="295" t="s">
        <v>1200</v>
      </c>
      <c r="E403" s="292" t="s">
        <v>2176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1866</v>
      </c>
      <c r="D404" s="295" t="s">
        <v>1799</v>
      </c>
      <c r="E404" s="292" t="s">
        <v>2177</v>
      </c>
      <c r="F404" s="269" t="s">
        <v>1799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1866</v>
      </c>
      <c r="D405" s="295" t="s">
        <v>2213</v>
      </c>
      <c r="E405" s="292" t="s">
        <v>4027</v>
      </c>
      <c r="F405" s="269" t="s">
        <v>2213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1866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2091</v>
      </c>
      <c r="D407" s="295" t="s">
        <v>2213</v>
      </c>
      <c r="E407" s="292" t="s">
        <v>4027</v>
      </c>
      <c r="F407" s="269" t="s">
        <v>2213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1927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1743</v>
      </c>
      <c r="D409" s="295">
        <v>50229</v>
      </c>
      <c r="E409" s="292" t="s">
        <v>2186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1743</v>
      </c>
      <c r="D410" s="295" t="s">
        <v>1255</v>
      </c>
      <c r="E410" s="292" t="s">
        <v>2184</v>
      </c>
      <c r="F410" s="269" t="s">
        <v>1255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1743</v>
      </c>
      <c r="D411" s="295" t="s">
        <v>1818</v>
      </c>
      <c r="E411" s="292" t="s">
        <v>2188</v>
      </c>
      <c r="F411" s="269" t="s">
        <v>1818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1866</v>
      </c>
      <c r="E412" s="292" t="s">
        <v>2224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1866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1843</v>
      </c>
      <c r="E414" s="292" t="s">
        <v>2226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1743</v>
      </c>
      <c r="E415" s="292" t="s">
        <v>1515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1743</v>
      </c>
      <c r="E416" s="292" t="s">
        <v>1531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1285</v>
      </c>
      <c r="D418" s="295">
        <v>1087298388</v>
      </c>
      <c r="E418" s="292" t="s">
        <v>2240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1281</v>
      </c>
      <c r="D419" s="295" t="s">
        <v>2250</v>
      </c>
      <c r="E419" s="292" t="s">
        <v>2251</v>
      </c>
      <c r="F419" s="269" t="s">
        <v>2250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1843</v>
      </c>
      <c r="E420" s="292" t="s">
        <v>1742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1667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1465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1718</v>
      </c>
      <c r="D423" s="295" t="s">
        <v>1200</v>
      </c>
      <c r="E423" s="292" t="s">
        <v>2176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1718</v>
      </c>
      <c r="D424" s="295" t="s">
        <v>1799</v>
      </c>
      <c r="E424" s="292" t="s">
        <v>2177</v>
      </c>
      <c r="F424" s="269" t="s">
        <v>1799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1718</v>
      </c>
      <c r="D425" s="295" t="s">
        <v>1716</v>
      </c>
      <c r="E425" s="292" t="s">
        <v>2179</v>
      </c>
      <c r="F425" s="269" t="s">
        <v>1716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1718</v>
      </c>
      <c r="E426" s="292" t="s">
        <v>2237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1387</v>
      </c>
      <c r="E427" s="292" t="s">
        <v>2033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1440</v>
      </c>
      <c r="E428" s="292" t="s">
        <v>2241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2242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1748</v>
      </c>
      <c r="E430" s="292" t="s">
        <v>1202</v>
      </c>
      <c r="F430" s="269" t="s">
        <v>1748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2182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1283</v>
      </c>
      <c r="D433" s="295" t="s">
        <v>2344</v>
      </c>
      <c r="E433" s="292" t="s">
        <v>1642</v>
      </c>
      <c r="F433" s="269" t="s">
        <v>2344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1857</v>
      </c>
      <c r="D434" s="295" t="s">
        <v>1199</v>
      </c>
      <c r="E434" s="292" t="s">
        <v>2182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2091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2235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1387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1550</v>
      </c>
      <c r="E438" s="292" t="s">
        <v>2252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2254</v>
      </c>
      <c r="D439" s="295" t="s">
        <v>1212</v>
      </c>
      <c r="E439" s="292" t="s">
        <v>2174</v>
      </c>
      <c r="F439" s="269" t="s">
        <v>1460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1667</v>
      </c>
      <c r="D440" s="295" t="s">
        <v>1952</v>
      </c>
      <c r="E440" s="292" t="s">
        <v>2198</v>
      </c>
      <c r="F440" s="269" t="s">
        <v>1952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1667</v>
      </c>
      <c r="D441" s="295" t="s">
        <v>1799</v>
      </c>
      <c r="E441" s="292" t="s">
        <v>2177</v>
      </c>
      <c r="F441" s="269" t="s">
        <v>1799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1667</v>
      </c>
      <c r="E442" s="292" t="s">
        <v>2199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2257</v>
      </c>
      <c r="D443" s="295" t="s">
        <v>1200</v>
      </c>
      <c r="E443" s="292" t="s">
        <v>2176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2257</v>
      </c>
      <c r="D444" s="295" t="s">
        <v>1799</v>
      </c>
      <c r="E444" s="292" t="s">
        <v>2177</v>
      </c>
      <c r="F444" s="269" t="s">
        <v>1799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1857</v>
      </c>
      <c r="D445" s="295" t="s">
        <v>1200</v>
      </c>
      <c r="E445" s="292" t="s">
        <v>2176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1857</v>
      </c>
      <c r="D446" s="295" t="s">
        <v>1799</v>
      </c>
      <c r="E446" s="292" t="s">
        <v>2177</v>
      </c>
      <c r="F446" s="269" t="s">
        <v>1799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2257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2254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1450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1395</v>
      </c>
      <c r="D451" s="295">
        <v>7252703114</v>
      </c>
      <c r="E451" s="292" t="s">
        <v>1699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1550</v>
      </c>
      <c r="D453" s="295" t="s">
        <v>1261</v>
      </c>
      <c r="E453" s="292" t="s">
        <v>1262</v>
      </c>
      <c r="F453" s="269" t="s">
        <v>1261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1445</v>
      </c>
      <c r="D454" s="295" t="s">
        <v>1197</v>
      </c>
      <c r="E454" s="292" t="s">
        <v>2263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1475</v>
      </c>
      <c r="E455" s="292" t="s">
        <v>1739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1445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2273</v>
      </c>
      <c r="E459" s="292" t="s">
        <v>1715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1718</v>
      </c>
      <c r="D460" s="295">
        <v>4150862090</v>
      </c>
      <c r="E460" s="292" t="s">
        <v>2518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1448</v>
      </c>
      <c r="E461" s="292" t="s">
        <v>1740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2518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2186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2180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1818</v>
      </c>
      <c r="E465" s="292" t="s">
        <v>2188</v>
      </c>
      <c r="F465" s="269" t="s">
        <v>1818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1540</v>
      </c>
      <c r="E466" s="292" t="s">
        <v>2286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1540</v>
      </c>
      <c r="E467" s="292" t="s">
        <v>1742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1550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2288</v>
      </c>
      <c r="D469" s="295" t="s">
        <v>1197</v>
      </c>
      <c r="E469" s="292" t="s">
        <v>2193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2288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1395</v>
      </c>
      <c r="E472" s="292" t="s">
        <v>1739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1550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1667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1573</v>
      </c>
      <c r="D476" s="295" t="s">
        <v>1206</v>
      </c>
      <c r="E476" s="292" t="s">
        <v>2183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1573</v>
      </c>
      <c r="D477" s="295">
        <v>50229</v>
      </c>
      <c r="E477" s="292" t="s">
        <v>2186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1573</v>
      </c>
      <c r="D478" s="295" t="s">
        <v>1791</v>
      </c>
      <c r="E478" s="292" t="s">
        <v>2187</v>
      </c>
      <c r="F478" s="269" t="s">
        <v>1791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2302</v>
      </c>
      <c r="D479" s="295" t="s">
        <v>1748</v>
      </c>
      <c r="E479" s="292" t="s">
        <v>2295</v>
      </c>
      <c r="F479" s="269" t="s">
        <v>1748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2302</v>
      </c>
      <c r="E480" s="292" t="s">
        <v>1492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1255</v>
      </c>
      <c r="E481" s="292" t="s">
        <v>2184</v>
      </c>
      <c r="F481" s="269" t="s">
        <v>1255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1667</v>
      </c>
      <c r="E482" s="292" t="s">
        <v>1492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1857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1582</v>
      </c>
      <c r="D484" s="295" t="s">
        <v>1212</v>
      </c>
      <c r="E484" s="292" t="s">
        <v>2174</v>
      </c>
      <c r="F484" s="269" t="s">
        <v>1460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2302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1667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1475</v>
      </c>
      <c r="D487" s="295">
        <v>501220639</v>
      </c>
      <c r="E487" s="292" t="s">
        <v>1755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1576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1718</v>
      </c>
      <c r="E489" s="292" t="s">
        <v>1740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1573</v>
      </c>
      <c r="E490" s="292" t="s">
        <v>1531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1786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1369</v>
      </c>
      <c r="E493" s="292" t="s">
        <v>1739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1537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1537</v>
      </c>
      <c r="E495" s="292" t="s">
        <v>2312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2144</v>
      </c>
      <c r="E496" s="292" t="s">
        <v>1851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1395</v>
      </c>
      <c r="E497" s="292" t="s">
        <v>2314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1743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1582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1890</v>
      </c>
      <c r="E500" s="292" t="s">
        <v>2316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2039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2315</v>
      </c>
      <c r="E502" s="292" t="s">
        <v>2193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2315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2317</v>
      </c>
      <c r="E504" s="292" t="s">
        <v>1713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1890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2272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2317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1743</v>
      </c>
      <c r="E508" s="292" t="s">
        <v>2295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1743</v>
      </c>
      <c r="E509" s="292" t="s">
        <v>1492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1743</v>
      </c>
      <c r="E510" s="292" t="s">
        <v>1515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1387</v>
      </c>
      <c r="E511" s="292" t="s">
        <v>2518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1395</v>
      </c>
      <c r="E512" s="292" t="s">
        <v>2023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1537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2348</v>
      </c>
      <c r="E514" s="292" t="s">
        <v>1719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1748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2211</v>
      </c>
      <c r="E516" s="292" t="s">
        <v>3066</v>
      </c>
      <c r="F516" s="269" t="s">
        <v>2323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2097</v>
      </c>
      <c r="E517" s="292" t="s">
        <v>1202</v>
      </c>
      <c r="F517" s="269" t="s">
        <v>1748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2097</v>
      </c>
      <c r="E518" s="292" t="s">
        <v>2334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1743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2109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1234</v>
      </c>
      <c r="E521" s="292" t="s">
        <v>2339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1302</v>
      </c>
      <c r="E522" s="292" t="s">
        <v>2174</v>
      </c>
      <c r="F522" s="269" t="s">
        <v>1460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1576</v>
      </c>
      <c r="E523" s="292" t="s">
        <v>2052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1369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1332</v>
      </c>
      <c r="E525" s="292" t="s">
        <v>1811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1573</v>
      </c>
      <c r="E526" s="292" t="s">
        <v>1742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1448</v>
      </c>
      <c r="E527" s="292" t="s">
        <v>1742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2329</v>
      </c>
      <c r="E528" s="292" t="s">
        <v>1742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1387</v>
      </c>
      <c r="E529" s="292" t="s">
        <v>1742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1475</v>
      </c>
      <c r="E530" s="292" t="s">
        <v>1742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1302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2357</v>
      </c>
      <c r="E532" s="292" t="s">
        <v>1218</v>
      </c>
      <c r="F532" s="269" t="s">
        <v>2158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1537</v>
      </c>
      <c r="E533" s="292" t="s">
        <v>1262</v>
      </c>
      <c r="F533" s="269" t="s">
        <v>1261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2288</v>
      </c>
      <c r="E534" s="292" t="s">
        <v>2183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2288</v>
      </c>
      <c r="E535" s="292" t="s">
        <v>2186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2288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1452</v>
      </c>
      <c r="E537" s="292" t="s">
        <v>1713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1395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1537</v>
      </c>
      <c r="E539" s="292" t="s">
        <v>1202</v>
      </c>
      <c r="F539" s="269" t="s">
        <v>1748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1537</v>
      </c>
      <c r="E540" s="292" t="s">
        <v>1492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1537</v>
      </c>
      <c r="E541" s="292" t="s">
        <v>1699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2254</v>
      </c>
      <c r="E542" s="292" t="s">
        <v>2192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1279</v>
      </c>
      <c r="E544" s="292" t="s">
        <v>2383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1445</v>
      </c>
      <c r="E545" s="292" t="s">
        <v>2359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2371</v>
      </c>
      <c r="E546" s="292" t="s">
        <v>2370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1445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1594</v>
      </c>
      <c r="E549" s="292" t="s">
        <v>2192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2377</v>
      </c>
      <c r="E550" s="292" t="s">
        <v>1254</v>
      </c>
      <c r="F550" s="269" t="s">
        <v>1253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1452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2382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2376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1576</v>
      </c>
      <c r="E554" s="292" t="s">
        <v>1531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1576</v>
      </c>
      <c r="E555" s="292" t="s">
        <v>1545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1718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1718</v>
      </c>
      <c r="E557" s="292" t="s">
        <v>2385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1537</v>
      </c>
      <c r="E558" s="292" t="s">
        <v>2183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1537</v>
      </c>
      <c r="E559" s="292" t="s">
        <v>2186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1537</v>
      </c>
      <c r="E560" s="292" t="s">
        <v>2184</v>
      </c>
      <c r="F560" s="269" t="s">
        <v>1255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1537</v>
      </c>
      <c r="E561" s="292" t="s">
        <v>2188</v>
      </c>
      <c r="F561" s="269" t="s">
        <v>1818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1537</v>
      </c>
      <c r="E562" s="292" t="s">
        <v>2187</v>
      </c>
      <c r="F562" s="269" t="s">
        <v>1791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1594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1452</v>
      </c>
      <c r="E564" s="292" t="s">
        <v>1713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2392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2187</v>
      </c>
      <c r="F566" s="269" t="s">
        <v>1791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2190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2393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1576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2401</v>
      </c>
      <c r="E570" s="292" t="s">
        <v>2400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1718</v>
      </c>
      <c r="E571" s="292" t="s">
        <v>2183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2425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2357</v>
      </c>
      <c r="E573" s="292" t="s">
        <v>2251</v>
      </c>
      <c r="F573" s="269" t="s">
        <v>2250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2357</v>
      </c>
      <c r="E574" s="292" t="s">
        <v>2051</v>
      </c>
      <c r="F574" s="269" t="s">
        <v>2430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2409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1870</v>
      </c>
      <c r="F576" s="269" t="s">
        <v>2410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1718</v>
      </c>
      <c r="E577" s="292" t="s">
        <v>1739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2414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1440</v>
      </c>
      <c r="E579" s="292" t="s">
        <v>2192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1395</v>
      </c>
      <c r="E580" s="292" t="s">
        <v>2192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1576</v>
      </c>
      <c r="E581" s="292" t="s">
        <v>2183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1576</v>
      </c>
      <c r="E582" s="292" t="s">
        <v>2184</v>
      </c>
      <c r="F582" s="269" t="s">
        <v>1255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1270</v>
      </c>
      <c r="E583" s="292" t="s">
        <v>2431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1573</v>
      </c>
      <c r="E584" s="292" t="s">
        <v>2419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1573</v>
      </c>
      <c r="E585" s="292" t="s">
        <v>2421</v>
      </c>
      <c r="F585" s="269" t="s">
        <v>2420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1573</v>
      </c>
      <c r="E586" s="292" t="s">
        <v>2423</v>
      </c>
      <c r="F586" s="269" t="s">
        <v>2422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1573</v>
      </c>
      <c r="E587" s="292" t="s">
        <v>2188</v>
      </c>
      <c r="F587" s="269" t="s">
        <v>1818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2406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1440</v>
      </c>
      <c r="E589" s="292" t="s">
        <v>2426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1440</v>
      </c>
      <c r="E590" s="292" t="s">
        <v>2427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1440</v>
      </c>
      <c r="E591" s="292" t="s">
        <v>2428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1440</v>
      </c>
      <c r="E592" s="292" t="s">
        <v>2429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2254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1395</v>
      </c>
      <c r="E596" s="292" t="s">
        <v>2336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2097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1592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2361</v>
      </c>
      <c r="E599" s="292" t="s">
        <v>2447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1743</v>
      </c>
      <c r="E600" s="292" t="s">
        <v>2186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1743</v>
      </c>
      <c r="E601" s="292" t="s">
        <v>2184</v>
      </c>
      <c r="F601" s="269" t="s">
        <v>1255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1298</v>
      </c>
      <c r="E602" s="292" t="s">
        <v>2718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1302</v>
      </c>
      <c r="E603" s="292" t="s">
        <v>2451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1302</v>
      </c>
      <c r="E604" s="292" t="s">
        <v>2100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1573</v>
      </c>
      <c r="E605" s="292" t="s">
        <v>2573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1573</v>
      </c>
      <c r="E606" s="292" t="s">
        <v>1515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1440</v>
      </c>
      <c r="E607" s="292" t="s">
        <v>2454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2315</v>
      </c>
      <c r="E608" s="292" t="s">
        <v>2456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1890</v>
      </c>
      <c r="E609" s="292" t="s">
        <v>1202</v>
      </c>
      <c r="F609" s="269" t="s">
        <v>1357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1440</v>
      </c>
      <c r="E610" s="292" t="s">
        <v>2459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1452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2461</v>
      </c>
      <c r="D612" s="295" t="s">
        <v>1212</v>
      </c>
      <c r="E612" s="292" t="s">
        <v>2462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1302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2472</v>
      </c>
      <c r="E615" s="292" t="s">
        <v>1202</v>
      </c>
      <c r="F615" s="269" t="s">
        <v>1748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1448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1369</v>
      </c>
      <c r="E617" s="292" t="s">
        <v>1732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2463</v>
      </c>
      <c r="E618" s="292" t="s">
        <v>1713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1445</v>
      </c>
      <c r="E619" s="292" t="s">
        <v>1202</v>
      </c>
      <c r="F619" s="269" t="s">
        <v>1748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2361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2463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2315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1445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1484</v>
      </c>
      <c r="E624" s="292" t="s">
        <v>2176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1484</v>
      </c>
      <c r="E625" s="292" t="s">
        <v>2177</v>
      </c>
      <c r="F625" s="269" t="s">
        <v>1799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1469</v>
      </c>
      <c r="E626" s="292" t="s">
        <v>2192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1475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2472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2144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2482</v>
      </c>
      <c r="E630" s="292" t="s">
        <v>1713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1890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2187</v>
      </c>
      <c r="F633" s="269" t="s">
        <v>1791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2188</v>
      </c>
      <c r="F634" s="269" t="s">
        <v>1818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1805</v>
      </c>
      <c r="E635" s="292" t="s">
        <v>2174</v>
      </c>
      <c r="F635" s="269" t="s">
        <v>1460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1976</v>
      </c>
      <c r="E636" s="292" t="s">
        <v>2182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2492</v>
      </c>
      <c r="E637" s="292" t="s">
        <v>2176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2492</v>
      </c>
      <c r="E638" s="292" t="s">
        <v>2177</v>
      </c>
      <c r="F638" s="269" t="s">
        <v>1799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1326</v>
      </c>
      <c r="E639" s="292" t="s">
        <v>2684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1465</v>
      </c>
      <c r="E640" s="292" t="s">
        <v>2496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1490</v>
      </c>
      <c r="E641" s="292" t="s">
        <v>2295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1490</v>
      </c>
      <c r="E642" s="292" t="s">
        <v>1492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2492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1976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1395</v>
      </c>
      <c r="E645" s="292" t="s">
        <v>1739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2482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1537</v>
      </c>
      <c r="E647" s="292" t="s">
        <v>1739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1450</v>
      </c>
      <c r="E649" s="292" t="s">
        <v>2123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1490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1557</v>
      </c>
      <c r="F651" s="269" t="s">
        <v>1764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2507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2696</v>
      </c>
      <c r="E653" s="292" t="s">
        <v>2697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1395</v>
      </c>
      <c r="E655" s="292" t="s">
        <v>1739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1465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1475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1374</v>
      </c>
      <c r="E658" s="292" t="s">
        <v>1202</v>
      </c>
      <c r="F658" s="269" t="s">
        <v>1748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1374</v>
      </c>
      <c r="E659" s="292" t="s">
        <v>1492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1374</v>
      </c>
      <c r="E660" s="292" t="s">
        <v>1515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1374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1537</v>
      </c>
      <c r="E662" s="292" t="s">
        <v>2551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1537</v>
      </c>
      <c r="E663" s="292" t="s">
        <v>2553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1395</v>
      </c>
      <c r="E664" s="292" t="s">
        <v>1739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2554</v>
      </c>
      <c r="E665" s="292" t="s">
        <v>2174</v>
      </c>
      <c r="F665" s="269" t="s">
        <v>1460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2554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1448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2696</v>
      </c>
      <c r="E668" s="292" t="s">
        <v>1823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1395</v>
      </c>
      <c r="E669" s="292" t="s">
        <v>2562</v>
      </c>
      <c r="F669" s="269" t="s">
        <v>2561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1301</v>
      </c>
      <c r="E670" s="292" t="s">
        <v>2234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2774</v>
      </c>
      <c r="M670" s="269"/>
    </row>
    <row r="671" spans="1:13" x14ac:dyDescent="0.3">
      <c r="A671" s="271">
        <v>670</v>
      </c>
      <c r="B671" s="264">
        <v>45826</v>
      </c>
      <c r="C671" s="292" t="s">
        <v>1973</v>
      </c>
      <c r="E671" s="292" t="s">
        <v>2193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1973</v>
      </c>
      <c r="E672" s="292" t="s">
        <v>1515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1973</v>
      </c>
      <c r="E673" s="292" t="s">
        <v>2193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2288</v>
      </c>
      <c r="E674" s="292" t="s">
        <v>2033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2288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1450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1973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1718</v>
      </c>
      <c r="E678" s="292" t="s">
        <v>2326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1395</v>
      </c>
      <c r="E679" s="292" t="s">
        <v>1202</v>
      </c>
      <c r="F679" s="269" t="s">
        <v>1748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1395</v>
      </c>
      <c r="E680" s="292" t="s">
        <v>1846</v>
      </c>
      <c r="F680" s="269" t="s">
        <v>1845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1973</v>
      </c>
      <c r="E681" s="292" t="s">
        <v>2573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1445</v>
      </c>
      <c r="E682" s="292" t="s">
        <v>1202</v>
      </c>
      <c r="F682" s="269" t="s">
        <v>1748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2554</v>
      </c>
      <c r="E683" s="292" t="s">
        <v>1202</v>
      </c>
      <c r="F683" s="269" t="s">
        <v>1748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2554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1395</v>
      </c>
      <c r="E685" s="292" t="s">
        <v>2176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1395</v>
      </c>
      <c r="E686" s="292" t="s">
        <v>2177</v>
      </c>
      <c r="F686" s="269" t="s">
        <v>1799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1440</v>
      </c>
      <c r="E687" s="292" t="s">
        <v>2174</v>
      </c>
      <c r="F687" s="269" t="s">
        <v>1460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1332</v>
      </c>
      <c r="E688" s="292" t="s">
        <v>2653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2406</v>
      </c>
      <c r="E689" s="292" t="s">
        <v>2023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1573</v>
      </c>
      <c r="E690" s="292" t="s">
        <v>2583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1573</v>
      </c>
      <c r="E691" s="292" t="s">
        <v>1755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1573</v>
      </c>
      <c r="E692" s="292" t="s">
        <v>2108</v>
      </c>
      <c r="F692" s="269" t="s">
        <v>2578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1573</v>
      </c>
      <c r="E693" s="292" t="s">
        <v>2585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1973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1805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1317</v>
      </c>
      <c r="E696" s="292" t="s">
        <v>2251</v>
      </c>
      <c r="F696" s="269" t="s">
        <v>2250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1317</v>
      </c>
      <c r="E697" s="292" t="s">
        <v>2608</v>
      </c>
      <c r="F697" s="269" t="s">
        <v>1751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2406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1537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1576</v>
      </c>
      <c r="E700" s="292" t="s">
        <v>1202</v>
      </c>
      <c r="F700" s="269" t="s">
        <v>1748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1576</v>
      </c>
      <c r="E701" s="292" t="s">
        <v>1701</v>
      </c>
      <c r="F701" s="269" t="s">
        <v>1700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2211</v>
      </c>
      <c r="E702" s="292" t="s">
        <v>1218</v>
      </c>
      <c r="F702" s="269" t="s">
        <v>2158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2211</v>
      </c>
      <c r="E703" s="292" t="s">
        <v>2334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1537</v>
      </c>
      <c r="E704" s="292" t="s">
        <v>1202</v>
      </c>
      <c r="F704" s="269" t="s">
        <v>1748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1537</v>
      </c>
      <c r="E705" s="292" t="s">
        <v>1699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1537</v>
      </c>
      <c r="E706" s="292" t="s">
        <v>1492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2598</v>
      </c>
      <c r="E707" s="292" t="s">
        <v>1202</v>
      </c>
      <c r="F707" s="269" t="s">
        <v>1748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2598</v>
      </c>
      <c r="E708" s="292" t="s">
        <v>1515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1576</v>
      </c>
      <c r="E709" s="292" t="s">
        <v>1262</v>
      </c>
      <c r="F709" s="269" t="s">
        <v>1261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1445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1576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2606</v>
      </c>
      <c r="E712" s="292" t="s">
        <v>1713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2606</v>
      </c>
      <c r="E713" s="292" t="s">
        <v>1742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2593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1582</v>
      </c>
      <c r="E715" s="292" t="s">
        <v>1739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2668</v>
      </c>
      <c r="E716" s="292" t="s">
        <v>2669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1718</v>
      </c>
      <c r="E717" s="292" t="s">
        <v>2612</v>
      </c>
      <c r="F717" s="269" t="s">
        <v>2611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1743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2598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2614</v>
      </c>
      <c r="E720" s="292" t="s">
        <v>1204</v>
      </c>
      <c r="F720" s="269" t="s">
        <v>1559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2614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2619</v>
      </c>
      <c r="E722" s="292" t="s">
        <v>2618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1440</v>
      </c>
      <c r="E724" s="292" t="s">
        <v>2621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2625</v>
      </c>
      <c r="M726" s="269"/>
    </row>
    <row r="727" spans="1:14" x14ac:dyDescent="0.3">
      <c r="A727" s="271">
        <v>726</v>
      </c>
      <c r="B727" s="264">
        <v>45832</v>
      </c>
      <c r="C727" s="292" t="s">
        <v>1576</v>
      </c>
      <c r="E727" s="292" t="s">
        <v>2176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1576</v>
      </c>
      <c r="E728" s="292" t="s">
        <v>2177</v>
      </c>
      <c r="F728" s="269" t="s">
        <v>1799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1301</v>
      </c>
      <c r="E729" s="292" t="s">
        <v>1218</v>
      </c>
      <c r="F729" s="269" t="s">
        <v>2158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1301</v>
      </c>
      <c r="E730" s="292" t="s">
        <v>2666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2628</v>
      </c>
      <c r="E731" s="292" t="s">
        <v>1492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1718</v>
      </c>
      <c r="E732" s="292" t="s">
        <v>2182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1537</v>
      </c>
      <c r="E733" s="292" t="s">
        <v>2177</v>
      </c>
      <c r="F733" s="269" t="s">
        <v>1799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2176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2177</v>
      </c>
      <c r="F735" s="269" t="s">
        <v>1799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1577</v>
      </c>
      <c r="F736" s="269" t="s">
        <v>1919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1890</v>
      </c>
      <c r="E737" s="292" t="s">
        <v>1202</v>
      </c>
      <c r="F737" s="269" t="s">
        <v>1748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1309</v>
      </c>
      <c r="E738" s="292" t="s">
        <v>2650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2639</v>
      </c>
      <c r="E739" s="292" t="s">
        <v>2295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1594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1582</v>
      </c>
      <c r="E742" s="292" t="s">
        <v>1739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2639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2628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1313</v>
      </c>
      <c r="E745" s="292" t="s">
        <v>2663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1326</v>
      </c>
      <c r="E746" s="292" t="s">
        <v>2659</v>
      </c>
      <c r="F746" s="269" t="s">
        <v>1729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1718</v>
      </c>
      <c r="E747" s="292" t="s">
        <v>2660</v>
      </c>
      <c r="F747" s="269" t="s">
        <v>1791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1395</v>
      </c>
      <c r="E748" s="292" t="s">
        <v>2176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1395</v>
      </c>
      <c r="E749" s="292" t="s">
        <v>2177</v>
      </c>
      <c r="F749" s="269" t="s">
        <v>1799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1395</v>
      </c>
      <c r="E751" s="292" t="s">
        <v>1699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1298</v>
      </c>
      <c r="E752" s="292" t="s">
        <v>2665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2498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2472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1395</v>
      </c>
      <c r="E756" s="292" t="s">
        <v>2286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2198</v>
      </c>
      <c r="F757" s="269" t="s">
        <v>1952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2177</v>
      </c>
      <c r="F758" s="269" t="s">
        <v>1799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1374</v>
      </c>
      <c r="E760" s="292" t="s">
        <v>1713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1374</v>
      </c>
      <c r="E761" s="292" t="s">
        <v>1851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1286</v>
      </c>
      <c r="E762" s="292" t="s">
        <v>2906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2176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2177</v>
      </c>
      <c r="F764" s="269" t="s">
        <v>1799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1573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1469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1718</v>
      </c>
      <c r="E768" s="292" t="s">
        <v>1557</v>
      </c>
      <c r="F768" s="269" t="s">
        <v>2693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1469</v>
      </c>
      <c r="E769" s="292" t="s">
        <v>2192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1582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2288</v>
      </c>
      <c r="E771" s="292" t="s">
        <v>1740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2619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1332</v>
      </c>
      <c r="E773" s="292" t="s">
        <v>2251</v>
      </c>
      <c r="F773" s="269" t="s">
        <v>2250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2709</v>
      </c>
      <c r="F774" s="269" t="s">
        <v>2708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2715</v>
      </c>
      <c r="E775" s="292" t="s">
        <v>2334</v>
      </c>
      <c r="F775" s="269" t="s">
        <v>2716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1440</v>
      </c>
      <c r="E776" s="292" t="s">
        <v>2176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1440</v>
      </c>
      <c r="E777" s="292" t="s">
        <v>2177</v>
      </c>
      <c r="F777" s="269" t="s">
        <v>1799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1718</v>
      </c>
      <c r="E778" s="292" t="s">
        <v>2184</v>
      </c>
      <c r="F778" s="269" t="s">
        <v>1255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1976</v>
      </c>
      <c r="E779" s="292" t="s">
        <v>2176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1976</v>
      </c>
      <c r="E780" s="292" t="s">
        <v>2177</v>
      </c>
      <c r="F780" s="269" t="s">
        <v>1799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1463</v>
      </c>
      <c r="E781" s="292" t="s">
        <v>2174</v>
      </c>
      <c r="F781" s="269" t="s">
        <v>1460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2700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1890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2288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1537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1573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1576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1294</v>
      </c>
      <c r="E789" s="292" t="s">
        <v>1666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1374</v>
      </c>
      <c r="E790" s="292" t="s">
        <v>2719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2721</v>
      </c>
      <c r="E792" s="292" t="s">
        <v>2720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1475</v>
      </c>
      <c r="E793" s="292" t="s">
        <v>1740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1576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1369</v>
      </c>
      <c r="E795" s="292" t="s">
        <v>1742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1286</v>
      </c>
      <c r="E796" s="292" t="s">
        <v>2726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1395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1395</v>
      </c>
      <c r="E798" s="292" t="s">
        <v>2727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2728</v>
      </c>
      <c r="E799" s="292" t="s">
        <v>2339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1440</v>
      </c>
      <c r="E800" s="292" t="s">
        <v>1699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1440</v>
      </c>
      <c r="E801" s="292" t="s">
        <v>2663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2728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1976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2736</v>
      </c>
      <c r="E804" s="292" t="s">
        <v>2295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2738</v>
      </c>
      <c r="E805" s="292" t="s">
        <v>1202</v>
      </c>
      <c r="F805" s="269" t="s">
        <v>1748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2738</v>
      </c>
      <c r="E806" s="292" t="s">
        <v>2743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1576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1576</v>
      </c>
      <c r="E808" s="292" t="s">
        <v>1262</v>
      </c>
      <c r="F808" s="269" t="s">
        <v>1261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1957</v>
      </c>
      <c r="E809" s="292" t="s">
        <v>2176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1957</v>
      </c>
      <c r="E810" s="292" t="s">
        <v>2177</v>
      </c>
      <c r="F810" s="269" t="s">
        <v>1799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1957</v>
      </c>
      <c r="E811" s="292" t="s">
        <v>4027</v>
      </c>
      <c r="F811" s="269" t="s">
        <v>2213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1957</v>
      </c>
      <c r="E812" s="292" t="s">
        <v>2179</v>
      </c>
      <c r="F812" s="269" t="s">
        <v>1716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1324</v>
      </c>
      <c r="E813" s="292" t="s">
        <v>1218</v>
      </c>
      <c r="F813" s="269" t="s">
        <v>2158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2176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2177</v>
      </c>
      <c r="F815" s="269" t="s">
        <v>1799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2721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2758</v>
      </c>
      <c r="E817" s="292" t="s">
        <v>1557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1805</v>
      </c>
      <c r="E818" s="292" t="s">
        <v>1492</v>
      </c>
      <c r="F818" s="269" t="s">
        <v>2675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2257</v>
      </c>
      <c r="E819" s="292" t="s">
        <v>1202</v>
      </c>
      <c r="F819" s="269" t="s">
        <v>1748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1283</v>
      </c>
      <c r="E820" s="292" t="s">
        <v>1218</v>
      </c>
      <c r="F820" s="269" t="s">
        <v>2158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2758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2257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1957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2765</v>
      </c>
      <c r="E824" s="292" t="s">
        <v>2251</v>
      </c>
      <c r="F824" s="269" t="s">
        <v>2250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2765</v>
      </c>
      <c r="E825" s="292" t="s">
        <v>2608</v>
      </c>
      <c r="F825" s="269" t="s">
        <v>1751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2768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2727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1594</v>
      </c>
      <c r="E829" s="292" t="s">
        <v>1202</v>
      </c>
      <c r="F829" s="269" t="s">
        <v>1748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1576</v>
      </c>
      <c r="E830" s="292" t="s">
        <v>1701</v>
      </c>
      <c r="F830" s="269" t="s">
        <v>1700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1286</v>
      </c>
      <c r="E831" s="292" t="s">
        <v>2573</v>
      </c>
      <c r="F831" s="269" t="s">
        <v>2572</v>
      </c>
      <c r="G831" s="265">
        <v>1500000</v>
      </c>
      <c r="H831" s="269">
        <v>1</v>
      </c>
      <c r="J831" s="266" t="s">
        <v>2903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1748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2736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1469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1805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1594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1718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1537</v>
      </c>
      <c r="E838" s="292" t="s">
        <v>1202</v>
      </c>
      <c r="F838" s="269" t="s">
        <v>1748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1537</v>
      </c>
      <c r="E839" s="292" t="s">
        <v>1492</v>
      </c>
      <c r="F839" s="269" t="s">
        <v>2675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1440</v>
      </c>
      <c r="E841" s="292" t="s">
        <v>1501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1440</v>
      </c>
      <c r="E842" s="292" t="s">
        <v>1502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1475</v>
      </c>
      <c r="E843" s="292" t="s">
        <v>2414</v>
      </c>
      <c r="F843" s="269" t="s">
        <v>2744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2785</v>
      </c>
      <c r="E844" s="292" t="s">
        <v>2176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2785</v>
      </c>
      <c r="E845" s="292" t="s">
        <v>2177</v>
      </c>
      <c r="F845" s="269" t="s">
        <v>1799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2593</v>
      </c>
      <c r="E846" s="292" t="s">
        <v>2176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2593</v>
      </c>
      <c r="E847" s="292" t="s">
        <v>2177</v>
      </c>
      <c r="F847" s="269" t="s">
        <v>1799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2779</v>
      </c>
      <c r="E848" s="292" t="s">
        <v>2176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2779</v>
      </c>
      <c r="E849" s="292" t="s">
        <v>2177</v>
      </c>
      <c r="F849" s="269" t="s">
        <v>1799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2396</v>
      </c>
      <c r="F850" s="269" t="s">
        <v>2395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2409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1866</v>
      </c>
      <c r="E852" s="292" t="s">
        <v>2182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1440</v>
      </c>
      <c r="E853" s="292" t="s">
        <v>2183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1440</v>
      </c>
      <c r="E854" s="292" t="s">
        <v>2186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1718</v>
      </c>
      <c r="E855" s="292" t="s">
        <v>2795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2779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2785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1866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1718</v>
      </c>
      <c r="E859" s="292" t="s">
        <v>2797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1576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1395</v>
      </c>
      <c r="E861" s="292" t="s">
        <v>1739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1395</v>
      </c>
      <c r="E862" s="292" t="s">
        <v>2183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1395</v>
      </c>
      <c r="E863" s="292" t="s">
        <v>2184</v>
      </c>
      <c r="F863" s="269" t="s">
        <v>1255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1395</v>
      </c>
      <c r="E864" s="292" t="s">
        <v>2188</v>
      </c>
      <c r="F864" s="269" t="s">
        <v>1818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1395</v>
      </c>
      <c r="E865" s="292" t="s">
        <v>2187</v>
      </c>
      <c r="F865" s="269" t="s">
        <v>1791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2785</v>
      </c>
      <c r="E866" s="292" t="s">
        <v>2801</v>
      </c>
      <c r="F866" s="269" t="s">
        <v>2800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2785</v>
      </c>
      <c r="E867" s="292" t="s">
        <v>2179</v>
      </c>
      <c r="F867" s="269" t="s">
        <v>1716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1537</v>
      </c>
      <c r="E868" s="292" t="s">
        <v>1202</v>
      </c>
      <c r="F868" s="269" t="s">
        <v>1748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1537</v>
      </c>
      <c r="E869" s="292" t="s">
        <v>1492</v>
      </c>
      <c r="F869" s="269" t="s">
        <v>2675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1805</v>
      </c>
      <c r="E870" s="292" t="s">
        <v>1760</v>
      </c>
      <c r="F870" s="269" t="s">
        <v>1762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1805</v>
      </c>
      <c r="E871" s="292" t="s">
        <v>1760</v>
      </c>
      <c r="F871" s="269" t="s">
        <v>1759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2805</v>
      </c>
      <c r="E872" s="292" t="s">
        <v>1732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1582</v>
      </c>
      <c r="E874" s="292" t="s">
        <v>1202</v>
      </c>
      <c r="F874" s="269" t="s">
        <v>1748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1573</v>
      </c>
      <c r="E875" s="292" t="s">
        <v>2182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1573</v>
      </c>
      <c r="E876" s="292" t="s">
        <v>2186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1573</v>
      </c>
      <c r="E877" s="292" t="s">
        <v>2187</v>
      </c>
      <c r="F877" s="269" t="s">
        <v>1791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1573</v>
      </c>
      <c r="E878" s="292" t="s">
        <v>1515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1573</v>
      </c>
      <c r="E879" s="292" t="s">
        <v>2183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1748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2593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2785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1395</v>
      </c>
      <c r="E883" s="292" t="s">
        <v>1739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2406</v>
      </c>
      <c r="E884" s="292" t="s">
        <v>2023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2254</v>
      </c>
      <c r="E885" s="292" t="s">
        <v>2179</v>
      </c>
      <c r="F885" s="269" t="s">
        <v>1716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1440</v>
      </c>
      <c r="E886" s="292" t="s">
        <v>2176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1440</v>
      </c>
      <c r="E887" s="292" t="s">
        <v>2177</v>
      </c>
      <c r="F887" s="269" t="s">
        <v>1799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1718</v>
      </c>
      <c r="E888" s="292" t="s">
        <v>2326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1743</v>
      </c>
      <c r="E889" s="292" t="s">
        <v>2295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1743</v>
      </c>
      <c r="E890" s="292" t="s">
        <v>1515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2254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2805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1582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2406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2721</v>
      </c>
      <c r="E895" s="292" t="s">
        <v>2183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2721</v>
      </c>
      <c r="E896" s="292" t="s">
        <v>2186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2721</v>
      </c>
      <c r="E897" s="292" t="s">
        <v>1898</v>
      </c>
      <c r="F897" s="269" t="s">
        <v>1897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2315</v>
      </c>
      <c r="E898" s="292" t="s">
        <v>2832</v>
      </c>
      <c r="F898" s="269" t="s">
        <v>1988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1395</v>
      </c>
      <c r="E899" s="292" t="s">
        <v>2100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2192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1748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2836</v>
      </c>
      <c r="F902" s="269" t="s">
        <v>2746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2409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1573</v>
      </c>
      <c r="E905" s="292" t="s">
        <v>2843</v>
      </c>
      <c r="F905" s="269" t="s">
        <v>2842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1573</v>
      </c>
      <c r="E906" s="292" t="s">
        <v>2845</v>
      </c>
      <c r="F906" s="269" t="s">
        <v>2841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1576</v>
      </c>
      <c r="E907" s="292" t="s">
        <v>2176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1576</v>
      </c>
      <c r="E908" s="292" t="s">
        <v>2177</v>
      </c>
      <c r="F908" s="269" t="s">
        <v>1799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1395</v>
      </c>
      <c r="E909" s="292" t="s">
        <v>1739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1454</v>
      </c>
      <c r="E910" s="292" t="s">
        <v>2745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1445</v>
      </c>
      <c r="E911" s="292" t="s">
        <v>1531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1582</v>
      </c>
      <c r="E912" s="292" t="s">
        <v>1202</v>
      </c>
      <c r="F912" s="269" t="s">
        <v>1748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1582</v>
      </c>
      <c r="E913" s="292" t="s">
        <v>1492</v>
      </c>
      <c r="F913" s="269" t="s">
        <v>2675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1582</v>
      </c>
      <c r="E914" s="292" t="s">
        <v>1733</v>
      </c>
      <c r="F914" s="269" t="s">
        <v>2830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1582</v>
      </c>
      <c r="E915" s="292" t="s">
        <v>2829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2856</v>
      </c>
      <c r="E916" s="292" t="s">
        <v>2251</v>
      </c>
      <c r="F916" s="269" t="s">
        <v>2250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2856</v>
      </c>
      <c r="E917" s="292" t="s">
        <v>2608</v>
      </c>
      <c r="F917" s="269" t="s">
        <v>1751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1283</v>
      </c>
      <c r="E918" s="292" t="s">
        <v>1666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2854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1445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1594</v>
      </c>
      <c r="E921" s="292" t="s">
        <v>2857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2315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1594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2721</v>
      </c>
      <c r="E924" s="292" t="s">
        <v>2182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2861</v>
      </c>
      <c r="E925" s="292" t="s">
        <v>1666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1582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2904</v>
      </c>
      <c r="E927" s="292" t="s">
        <v>2650</v>
      </c>
      <c r="G927" s="265">
        <v>1750000</v>
      </c>
      <c r="H927" s="269">
        <v>1</v>
      </c>
      <c r="J927" s="266" t="s">
        <v>2905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2869</v>
      </c>
      <c r="E928" s="292" t="s">
        <v>2380</v>
      </c>
      <c r="F928" s="269" t="s">
        <v>2872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1395</v>
      </c>
      <c r="E929" s="292" t="s">
        <v>1739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2406</v>
      </c>
      <c r="E930" s="292" t="s">
        <v>2023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2907</v>
      </c>
    </row>
    <row r="931" spans="1:13" x14ac:dyDescent="0.3">
      <c r="A931" s="271">
        <v>930</v>
      </c>
      <c r="B931" s="264">
        <v>45852</v>
      </c>
      <c r="C931" s="292" t="s">
        <v>2315</v>
      </c>
      <c r="E931" s="292" t="s">
        <v>2832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1594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1440</v>
      </c>
      <c r="E933" s="292" t="s">
        <v>2176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1440</v>
      </c>
      <c r="E934" s="292" t="s">
        <v>2177</v>
      </c>
      <c r="F934" s="269" t="s">
        <v>1799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1594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2315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2904</v>
      </c>
      <c r="E937" s="292" t="s">
        <v>1666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2406</v>
      </c>
      <c r="E938" s="292" t="s">
        <v>2176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2406</v>
      </c>
      <c r="E939" s="292" t="s">
        <v>2177</v>
      </c>
      <c r="F939" s="269" t="s">
        <v>1799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2892</v>
      </c>
      <c r="E941" s="292" t="s">
        <v>2176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2892</v>
      </c>
      <c r="E942" s="292" t="s">
        <v>2177</v>
      </c>
      <c r="F942" s="269" t="s">
        <v>1799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2892</v>
      </c>
      <c r="E943" s="292" t="s">
        <v>4027</v>
      </c>
      <c r="F943" s="269" t="s">
        <v>2213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2315</v>
      </c>
      <c r="E944" s="292" t="s">
        <v>2174</v>
      </c>
      <c r="F944" s="269" t="s">
        <v>1460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1286</v>
      </c>
      <c r="E945" s="292" t="s">
        <v>2573</v>
      </c>
      <c r="F945" s="269" t="s">
        <v>2572</v>
      </c>
      <c r="G945" s="265">
        <v>1500000</v>
      </c>
      <c r="H945" s="269">
        <v>1</v>
      </c>
      <c r="J945" s="266" t="s">
        <v>2903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1452</v>
      </c>
      <c r="E947" s="292" t="s">
        <v>1713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2886</v>
      </c>
      <c r="E948" s="292" t="s">
        <v>2192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2886</v>
      </c>
      <c r="E949" s="292" t="s">
        <v>2900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1718</v>
      </c>
      <c r="E950" s="292" t="s">
        <v>2709</v>
      </c>
      <c r="F950" s="269" t="s">
        <v>2708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2892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2315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2406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2288</v>
      </c>
      <c r="E954" s="292" t="s">
        <v>2183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2288</v>
      </c>
      <c r="E955" s="292" t="s">
        <v>2186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1801</v>
      </c>
      <c r="E956" s="292" t="s">
        <v>2909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1667</v>
      </c>
      <c r="E957" s="292" t="s">
        <v>2176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1667</v>
      </c>
      <c r="E958" s="292" t="s">
        <v>2177</v>
      </c>
      <c r="F958" s="269" t="s">
        <v>1799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2912</v>
      </c>
      <c r="E959" s="292" t="s">
        <v>2176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2288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2912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1463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2886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2869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2097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2920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1463</v>
      </c>
      <c r="E970" s="292" t="s">
        <v>2922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2619</v>
      </c>
      <c r="E971" s="292" t="s">
        <v>2286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1395</v>
      </c>
      <c r="E972" s="292" t="s">
        <v>2176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1330</v>
      </c>
      <c r="E973" s="292" t="s">
        <v>2212</v>
      </c>
      <c r="F973" s="269" t="s">
        <v>1756</v>
      </c>
      <c r="G973" s="265">
        <v>510000</v>
      </c>
      <c r="H973" s="269">
        <v>1</v>
      </c>
      <c r="J973" s="266" t="s">
        <v>2981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1330</v>
      </c>
      <c r="E974" s="292" t="s">
        <v>2982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2931</v>
      </c>
      <c r="E975" s="292" t="s">
        <v>2176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2931</v>
      </c>
      <c r="E976" s="292" t="s">
        <v>2934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1475</v>
      </c>
      <c r="E977" s="292" t="s">
        <v>2936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2938</v>
      </c>
      <c r="E978" s="292" t="s">
        <v>1557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2938</v>
      </c>
      <c r="E979" s="292" t="s">
        <v>2939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1843</v>
      </c>
      <c r="E980" s="292" t="s">
        <v>2183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1976</v>
      </c>
      <c r="E981" s="292" t="s">
        <v>1202</v>
      </c>
      <c r="F981" s="269" t="s">
        <v>1748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1976</v>
      </c>
      <c r="E982" s="292" t="s">
        <v>1202</v>
      </c>
      <c r="F982" s="269" t="s">
        <v>1748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2938</v>
      </c>
      <c r="E983" s="292" t="s">
        <v>1666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2931</v>
      </c>
      <c r="E984" s="292" t="s">
        <v>1666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2315</v>
      </c>
      <c r="E985" s="292" t="s">
        <v>2176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1805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2619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2606</v>
      </c>
      <c r="E988" s="292" t="s">
        <v>2948</v>
      </c>
      <c r="F988" s="269" t="s">
        <v>1748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2254</v>
      </c>
      <c r="E989" s="292" t="s">
        <v>2951</v>
      </c>
      <c r="F989" s="269" t="s">
        <v>2950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1550</v>
      </c>
      <c r="E990" s="292" t="s">
        <v>1262</v>
      </c>
      <c r="F990" s="269" t="s">
        <v>1261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1502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2606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2254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1465</v>
      </c>
      <c r="E995" s="292" t="s">
        <v>2400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1452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1537</v>
      </c>
      <c r="E997" s="292" t="s">
        <v>2183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1537</v>
      </c>
      <c r="E998" s="292" t="s">
        <v>2184</v>
      </c>
      <c r="F998" s="269" t="s">
        <v>1255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1537</v>
      </c>
      <c r="E999" s="292" t="s">
        <v>2187</v>
      </c>
      <c r="F999" s="269" t="s">
        <v>1791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1537</v>
      </c>
      <c r="E1000" s="292" t="s">
        <v>2188</v>
      </c>
      <c r="F1000" s="269" t="s">
        <v>1818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1808</v>
      </c>
      <c r="E1001" s="292" t="s">
        <v>1739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1808</v>
      </c>
      <c r="E1002" s="292" t="s">
        <v>1515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2087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2960</v>
      </c>
      <c r="E1004" s="292" t="s">
        <v>2183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1718</v>
      </c>
      <c r="E1005" s="292" t="s">
        <v>1713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2967</v>
      </c>
      <c r="E1006" s="292" t="s">
        <v>1218</v>
      </c>
      <c r="F1006" s="269" t="s">
        <v>2158</v>
      </c>
      <c r="G1006" s="265">
        <v>1200000</v>
      </c>
      <c r="H1006" s="269">
        <v>1</v>
      </c>
      <c r="J1006" s="266" t="s">
        <v>2968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2886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2960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1395</v>
      </c>
      <c r="E1009" s="292" t="s">
        <v>2087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1395</v>
      </c>
      <c r="E1010" s="292" t="s">
        <v>2971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1743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1805</v>
      </c>
      <c r="E1012" s="292" t="s">
        <v>1492</v>
      </c>
      <c r="F1012" s="269" t="s">
        <v>2675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1843</v>
      </c>
      <c r="E1013" s="292" t="s">
        <v>2185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1463</v>
      </c>
      <c r="E1014" s="292" t="s">
        <v>2176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1463</v>
      </c>
      <c r="E1015" s="292" t="s">
        <v>2177</v>
      </c>
      <c r="F1015" s="269" t="s">
        <v>1799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2176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2177</v>
      </c>
      <c r="F1017" s="269" t="s">
        <v>1799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2179</v>
      </c>
      <c r="F1018" s="269" t="s">
        <v>1716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2315</v>
      </c>
      <c r="E1019" s="292" t="s">
        <v>2176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2315</v>
      </c>
      <c r="E1020" s="292" t="s">
        <v>2979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1843</v>
      </c>
      <c r="E1021" s="292" t="s">
        <v>2980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1805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1445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1395</v>
      </c>
      <c r="E1025" s="292" t="s">
        <v>2176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1395</v>
      </c>
      <c r="E1026" s="292" t="s">
        <v>2177</v>
      </c>
      <c r="F1026" s="269" t="s">
        <v>1799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1395</v>
      </c>
      <c r="E1027" s="292" t="s">
        <v>1545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2669</v>
      </c>
      <c r="G1028" s="265">
        <v>1600000</v>
      </c>
      <c r="H1028" s="269">
        <v>1</v>
      </c>
      <c r="J1028" s="266" t="s">
        <v>2996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1454</v>
      </c>
      <c r="E1029" s="292" t="s">
        <v>2176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1454</v>
      </c>
      <c r="E1030" s="292" t="s">
        <v>2177</v>
      </c>
      <c r="F1030" s="269" t="s">
        <v>1799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1445</v>
      </c>
      <c r="E1031" s="292" t="s">
        <v>2183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1445</v>
      </c>
      <c r="E1032" s="292" t="s">
        <v>2186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1576</v>
      </c>
      <c r="E1033" s="292" t="s">
        <v>1262</v>
      </c>
      <c r="F1033" s="269" t="s">
        <v>1261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1440</v>
      </c>
      <c r="E1034" s="292" t="s">
        <v>2990</v>
      </c>
      <c r="F1034" s="269" t="s">
        <v>2991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2468</v>
      </c>
      <c r="E1035" s="292" t="s">
        <v>2669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1284</v>
      </c>
      <c r="E1036" s="292" t="s">
        <v>3065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2251</v>
      </c>
      <c r="F1037" s="269" t="s">
        <v>2250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2608</v>
      </c>
      <c r="F1038" s="269" t="s">
        <v>1751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1454</v>
      </c>
      <c r="E1039" s="292" t="s">
        <v>2997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1808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2382</v>
      </c>
      <c r="E1041" s="292" t="s">
        <v>2999</v>
      </c>
      <c r="F1041" s="269" t="s">
        <v>3000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1976</v>
      </c>
      <c r="E1042" s="292" t="s">
        <v>1712</v>
      </c>
      <c r="F1042" s="269" t="s">
        <v>1711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1594</v>
      </c>
      <c r="E1043" s="292" t="s">
        <v>1202</v>
      </c>
      <c r="F1043" s="269" t="s">
        <v>1748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3005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2176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2177</v>
      </c>
      <c r="F1046" s="269" t="s">
        <v>1799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1866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2382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1465</v>
      </c>
      <c r="E1050" s="292" t="s">
        <v>1202</v>
      </c>
      <c r="F1050" s="269" t="s">
        <v>1357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1445</v>
      </c>
      <c r="E1051" s="292" t="s">
        <v>1742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1440</v>
      </c>
      <c r="E1052" s="292" t="s">
        <v>2174</v>
      </c>
      <c r="F1052" s="269" t="s">
        <v>1460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1594</v>
      </c>
      <c r="E1053" s="292" t="s">
        <v>1742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2994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1743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2100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1395</v>
      </c>
      <c r="E1058" s="292" t="s">
        <v>1733</v>
      </c>
      <c r="F1058" s="269" t="s">
        <v>2830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1395</v>
      </c>
      <c r="E1059" s="292" t="s">
        <v>2915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1743</v>
      </c>
      <c r="E1060" s="292" t="s">
        <v>1732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1843</v>
      </c>
      <c r="E1061" s="292" t="s">
        <v>2185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1667</v>
      </c>
      <c r="E1062" s="292" t="s">
        <v>1825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1469</v>
      </c>
      <c r="E1063" s="292" t="s">
        <v>2183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3017</v>
      </c>
      <c r="E1064" s="292" t="s">
        <v>1855</v>
      </c>
      <c r="F1064" s="269" t="s">
        <v>3660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1540</v>
      </c>
      <c r="E1065" s="292" t="s">
        <v>2182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1857</v>
      </c>
      <c r="E1066" s="292" t="s">
        <v>2176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1857</v>
      </c>
      <c r="E1067" s="292" t="s">
        <v>2177</v>
      </c>
      <c r="F1067" s="269" t="s">
        <v>1799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1743</v>
      </c>
      <c r="E1068" s="292" t="s">
        <v>2414</v>
      </c>
      <c r="F1068" s="269" t="s">
        <v>2744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1743</v>
      </c>
      <c r="E1069" s="292" t="s">
        <v>1515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1445</v>
      </c>
      <c r="E1070" s="292" t="s">
        <v>1202</v>
      </c>
      <c r="F1070" s="269" t="s">
        <v>1748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3017</v>
      </c>
      <c r="E1071" s="292" t="s">
        <v>1742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3025</v>
      </c>
      <c r="E1072" s="292" t="s">
        <v>2176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3025</v>
      </c>
      <c r="E1073" s="292" t="s">
        <v>2177</v>
      </c>
      <c r="F1073" s="269" t="s">
        <v>1799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3025</v>
      </c>
      <c r="E1074" s="292" t="s">
        <v>1742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1445</v>
      </c>
      <c r="E1075" s="292" t="s">
        <v>1742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1667</v>
      </c>
      <c r="E1076" s="292" t="s">
        <v>1742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1540</v>
      </c>
      <c r="E1077" s="292" t="s">
        <v>1742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1454</v>
      </c>
      <c r="E1078" s="292" t="s">
        <v>1742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1843</v>
      </c>
      <c r="E1079" s="292" t="s">
        <v>1742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1976</v>
      </c>
      <c r="E1080" s="292" t="s">
        <v>1742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1742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1742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1576</v>
      </c>
      <c r="E1083" s="292" t="s">
        <v>2980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1440</v>
      </c>
      <c r="E1084" s="292" t="s">
        <v>3056</v>
      </c>
      <c r="F1084" s="269" t="s">
        <v>3055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1786</v>
      </c>
      <c r="E1085" s="292" t="s">
        <v>2176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1786</v>
      </c>
      <c r="E1086" s="292" t="s">
        <v>2177</v>
      </c>
      <c r="F1086" s="269" t="s">
        <v>1799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2182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1302</v>
      </c>
      <c r="E1088" s="292" t="s">
        <v>2183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1302</v>
      </c>
      <c r="E1089" s="292" t="s">
        <v>2186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1302</v>
      </c>
      <c r="E1090" s="292" t="s">
        <v>2187</v>
      </c>
      <c r="F1090" s="269" t="s">
        <v>1791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1302</v>
      </c>
      <c r="E1091" s="292" t="s">
        <v>2518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1801</v>
      </c>
      <c r="E1092" s="292" t="s">
        <v>2612</v>
      </c>
      <c r="F1092" s="269" t="s">
        <v>2611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2912</v>
      </c>
      <c r="E1093" s="292" t="s">
        <v>1202</v>
      </c>
      <c r="F1093" s="269" t="s">
        <v>1748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1718</v>
      </c>
      <c r="E1094" s="292" t="s">
        <v>3066</v>
      </c>
      <c r="F1094" s="269" t="s">
        <v>2323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1440</v>
      </c>
      <c r="E1095" s="292" t="s">
        <v>2176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1440</v>
      </c>
      <c r="E1096" s="292" t="s">
        <v>2177</v>
      </c>
      <c r="F1096" s="269" t="s">
        <v>1799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1440</v>
      </c>
      <c r="E1097" s="292" t="s">
        <v>1545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1801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2912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1302</v>
      </c>
      <c r="E1100" s="292" t="s">
        <v>1742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1973</v>
      </c>
      <c r="E1101" s="292" t="s">
        <v>2176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1973</v>
      </c>
      <c r="E1102" s="292" t="s">
        <v>2177</v>
      </c>
      <c r="F1102" s="269" t="s">
        <v>1799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1805</v>
      </c>
      <c r="E1103" s="292" t="s">
        <v>2176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1805</v>
      </c>
      <c r="E1104" s="292" t="s">
        <v>2177</v>
      </c>
      <c r="F1104" s="269" t="s">
        <v>1799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2785</v>
      </c>
      <c r="E1105" s="292" t="s">
        <v>4027</v>
      </c>
      <c r="F1105" s="269" t="s">
        <v>2213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1801</v>
      </c>
      <c r="E1106" s="292" t="s">
        <v>3070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1573</v>
      </c>
      <c r="E1107" s="292" t="s">
        <v>2915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3073</v>
      </c>
      <c r="E1108" s="292" t="s">
        <v>1202</v>
      </c>
      <c r="F1108" s="269" t="s">
        <v>1748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2315</v>
      </c>
      <c r="E1109" s="292" t="s">
        <v>2915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1667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2721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2315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1973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2785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3073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1448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2315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1469</v>
      </c>
      <c r="E1119" s="292" t="s">
        <v>2176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1786</v>
      </c>
      <c r="E1120" s="292" t="s">
        <v>2176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1786</v>
      </c>
      <c r="E1121" s="292" t="s">
        <v>2177</v>
      </c>
      <c r="F1121" s="269" t="s">
        <v>1799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1494</v>
      </c>
      <c r="E1122" s="292" t="s">
        <v>1202</v>
      </c>
      <c r="F1122" s="269" t="s">
        <v>1748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1494</v>
      </c>
      <c r="E1123" s="292" t="s">
        <v>1515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1667</v>
      </c>
      <c r="E1124" s="292" t="s">
        <v>2562</v>
      </c>
      <c r="F1124" s="269" t="s">
        <v>2561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1576</v>
      </c>
      <c r="E1125" s="292" t="s">
        <v>1262</v>
      </c>
      <c r="F1125" s="269" t="s">
        <v>1261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1395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1857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1550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1494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1573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1469</v>
      </c>
      <c r="E1132" s="292" t="s">
        <v>2183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3089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1938</v>
      </c>
      <c r="E1134" s="292" t="s">
        <v>2176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1938</v>
      </c>
      <c r="E1135" s="292" t="s">
        <v>2177</v>
      </c>
      <c r="F1135" s="269" t="s">
        <v>1799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1395</v>
      </c>
      <c r="E1136" s="292" t="s">
        <v>2176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1395</v>
      </c>
      <c r="E1137" s="292" t="s">
        <v>2177</v>
      </c>
      <c r="F1137" s="269" t="s">
        <v>1799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1537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1938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1469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3089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1718</v>
      </c>
      <c r="E1142" s="292" t="s">
        <v>1712</v>
      </c>
      <c r="F1142" s="269" t="s">
        <v>1711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1326</v>
      </c>
      <c r="E1143" s="292" t="s">
        <v>3106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1469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1805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1801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1469</v>
      </c>
      <c r="E1147" s="292" t="s">
        <v>2176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1469</v>
      </c>
      <c r="E1148" s="292" t="s">
        <v>2176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2144</v>
      </c>
      <c r="E1149" s="292" t="s">
        <v>1713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1855</v>
      </c>
      <c r="F1150" s="269" t="s">
        <v>3660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1743</v>
      </c>
      <c r="E1151" s="292" t="s">
        <v>1742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1743</v>
      </c>
      <c r="E1152" s="292" t="s">
        <v>2186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1743</v>
      </c>
      <c r="E1153" s="292" t="s">
        <v>2187</v>
      </c>
      <c r="F1153" s="269" t="s">
        <v>1791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2141</v>
      </c>
      <c r="E1154" s="292" t="s">
        <v>2836</v>
      </c>
      <c r="F1154" s="269" t="s">
        <v>2746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1463</v>
      </c>
      <c r="E1155" s="292" t="s">
        <v>2190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1592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2406</v>
      </c>
      <c r="E1157" s="292" t="s">
        <v>2414</v>
      </c>
      <c r="F1157" s="269" t="s">
        <v>2744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3111</v>
      </c>
      <c r="E1158" s="292" t="s">
        <v>2192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1395</v>
      </c>
      <c r="E1159" s="292" t="s">
        <v>1202</v>
      </c>
      <c r="F1159" s="269" t="s">
        <v>1748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1395</v>
      </c>
      <c r="E1160" s="292" t="s">
        <v>2183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1395</v>
      </c>
      <c r="E1161" s="292" t="s">
        <v>2187</v>
      </c>
      <c r="F1161" s="269" t="s">
        <v>1791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1973</v>
      </c>
      <c r="E1162" s="292" t="s">
        <v>1202</v>
      </c>
      <c r="F1162" s="269" t="s">
        <v>1748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1973</v>
      </c>
      <c r="E1163" s="292" t="s">
        <v>3112</v>
      </c>
      <c r="F1163" s="269" t="s">
        <v>1748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1550</v>
      </c>
      <c r="E1164" s="292" t="s">
        <v>3113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1550</v>
      </c>
      <c r="E1165" s="292" t="s">
        <v>3114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1550</v>
      </c>
      <c r="E1166" s="292" t="s">
        <v>3115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1440</v>
      </c>
      <c r="E1167" s="292" t="s">
        <v>2176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1440</v>
      </c>
      <c r="E1168" s="292" t="s">
        <v>2177</v>
      </c>
      <c r="F1168" s="269" t="s">
        <v>1799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1973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3111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2144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1469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2406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1490</v>
      </c>
      <c r="E1174" s="292" t="s">
        <v>1202</v>
      </c>
      <c r="F1174" s="269" t="s">
        <v>1748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2108</v>
      </c>
      <c r="F1175" s="269" t="s">
        <v>2578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3116</v>
      </c>
      <c r="E1176" s="292" t="s">
        <v>2176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3116</v>
      </c>
      <c r="E1177" s="292" t="s">
        <v>2177</v>
      </c>
      <c r="F1177" s="269" t="s">
        <v>1799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3129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1805</v>
      </c>
      <c r="E1179" s="292" t="s">
        <v>1492</v>
      </c>
      <c r="F1179" s="269" t="s">
        <v>2675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1312</v>
      </c>
      <c r="E1180" s="292" t="s">
        <v>1422</v>
      </c>
      <c r="F1180" s="269" t="s">
        <v>3138</v>
      </c>
      <c r="G1180" s="265">
        <v>1300000</v>
      </c>
      <c r="H1180" s="269">
        <v>1</v>
      </c>
      <c r="J1180" s="266" t="s">
        <v>3139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2141</v>
      </c>
      <c r="E1181" s="292" t="s">
        <v>2192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2141</v>
      </c>
      <c r="E1182" s="292" t="s">
        <v>2900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1573</v>
      </c>
      <c r="E1183" s="292" t="s">
        <v>3135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1743</v>
      </c>
      <c r="E1184" s="292" t="s">
        <v>2192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1743</v>
      </c>
      <c r="E1185" s="292" t="s">
        <v>1515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3116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2141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3132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1440</v>
      </c>
      <c r="E1189" s="292" t="s">
        <v>2801</v>
      </c>
      <c r="F1189" s="269" t="s">
        <v>2800</v>
      </c>
      <c r="G1189" s="265">
        <v>250000</v>
      </c>
      <c r="H1189" s="269">
        <v>1</v>
      </c>
      <c r="K1189" s="265">
        <v>250000</v>
      </c>
      <c r="M1189" s="269" t="s">
        <v>3140</v>
      </c>
    </row>
    <row r="1190" spans="1:13" x14ac:dyDescent="0.3">
      <c r="A1190" s="271">
        <v>1189</v>
      </c>
      <c r="B1190" s="264">
        <v>45876</v>
      </c>
      <c r="C1190" s="292" t="s">
        <v>1440</v>
      </c>
      <c r="E1190" s="292" t="s">
        <v>2179</v>
      </c>
      <c r="F1190" s="269" t="s">
        <v>1716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2779</v>
      </c>
      <c r="E1191" s="292" t="s">
        <v>2176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2779</v>
      </c>
      <c r="E1192" s="292" t="s">
        <v>2177</v>
      </c>
      <c r="F1192" s="269" t="s">
        <v>1799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2406</v>
      </c>
      <c r="E1193" s="292" t="s">
        <v>2414</v>
      </c>
      <c r="F1193" s="269" t="s">
        <v>2744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2406</v>
      </c>
      <c r="E1194" s="292" t="s">
        <v>3144</v>
      </c>
      <c r="F1194" s="269" t="s">
        <v>2744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1490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1475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1718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2779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2406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3145</v>
      </c>
      <c r="E1200" s="292" t="s">
        <v>1492</v>
      </c>
      <c r="F1200" s="269" t="s">
        <v>2675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3145</v>
      </c>
      <c r="E1201" s="292" t="s">
        <v>1515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3145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3147</v>
      </c>
      <c r="E1203" s="292" t="s">
        <v>2295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3147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3155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1262</v>
      </c>
      <c r="F1207" s="269" t="s">
        <v>1261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3157</v>
      </c>
      <c r="E1208" s="292" t="s">
        <v>2176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3157</v>
      </c>
      <c r="E1209" s="292" t="s">
        <v>2177</v>
      </c>
      <c r="F1209" s="269" t="s">
        <v>1799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1463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2315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1743</v>
      </c>
      <c r="E1212" s="292" t="s">
        <v>2184</v>
      </c>
      <c r="F1212" s="269" t="s">
        <v>1255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1743</v>
      </c>
      <c r="E1213" s="292" t="s">
        <v>2188</v>
      </c>
      <c r="F1213" s="269" t="s">
        <v>1818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1576</v>
      </c>
      <c r="E1214" s="292" t="s">
        <v>1204</v>
      </c>
      <c r="F1214" s="269" t="s">
        <v>1559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1490</v>
      </c>
      <c r="E1215" s="292" t="s">
        <v>2380</v>
      </c>
      <c r="F1215" s="269" t="s">
        <v>3162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1395</v>
      </c>
      <c r="E1216" s="292" t="s">
        <v>1202</v>
      </c>
      <c r="F1216" s="269" t="s">
        <v>1748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1395</v>
      </c>
      <c r="E1217" s="292" t="s">
        <v>1492</v>
      </c>
      <c r="F1217" s="269" t="s">
        <v>2675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1395</v>
      </c>
      <c r="E1218" s="292" t="s">
        <v>2836</v>
      </c>
      <c r="F1218" s="269" t="s">
        <v>2746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1890</v>
      </c>
      <c r="E1219" s="292" t="s">
        <v>1202</v>
      </c>
      <c r="F1219" s="269" t="s">
        <v>1748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2912</v>
      </c>
      <c r="E1220" s="292" t="s">
        <v>2176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2912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1463</v>
      </c>
      <c r="E1222" s="292" t="s">
        <v>2023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1469</v>
      </c>
      <c r="E1223" s="292" t="s">
        <v>2183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2315</v>
      </c>
      <c r="E1224" s="292" t="s">
        <v>2771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3171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2462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3173</v>
      </c>
    </row>
    <row r="1226" spans="1:13" x14ac:dyDescent="0.3">
      <c r="A1226" s="271">
        <v>1225</v>
      </c>
      <c r="B1226" s="264">
        <v>45881</v>
      </c>
      <c r="C1226" s="292" t="s">
        <v>1667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2315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1805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3157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1801</v>
      </c>
      <c r="E1230" s="292" t="s">
        <v>2183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1801</v>
      </c>
      <c r="E1231" s="292" t="s">
        <v>2184</v>
      </c>
      <c r="F1231" s="269" t="s">
        <v>1255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1576</v>
      </c>
      <c r="E1232" s="292" t="s">
        <v>2183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1395</v>
      </c>
      <c r="E1233" s="292" t="s">
        <v>2414</v>
      </c>
      <c r="F1233" s="269" t="s">
        <v>2744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1395</v>
      </c>
      <c r="E1234" s="292" t="s">
        <v>2183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1395</v>
      </c>
      <c r="E1235" s="292" t="s">
        <v>2188</v>
      </c>
      <c r="F1235" s="269" t="s">
        <v>1818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1395</v>
      </c>
      <c r="E1236" s="292" t="s">
        <v>2187</v>
      </c>
      <c r="F1236" s="269" t="s">
        <v>1791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1573</v>
      </c>
      <c r="E1237" s="292" t="s">
        <v>2183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1573</v>
      </c>
      <c r="E1238" s="292" t="s">
        <v>2186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1573</v>
      </c>
      <c r="E1239" s="292" t="s">
        <v>2187</v>
      </c>
      <c r="F1239" s="269" t="s">
        <v>1791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1573</v>
      </c>
      <c r="E1240" s="292" t="s">
        <v>2188</v>
      </c>
      <c r="F1240" s="269" t="s">
        <v>1818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1573</v>
      </c>
      <c r="E1241" s="292" t="s">
        <v>2190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2184</v>
      </c>
      <c r="F1242" s="269" t="s">
        <v>1255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2186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2188</v>
      </c>
      <c r="F1244" s="269" t="s">
        <v>1818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2187</v>
      </c>
      <c r="F1245" s="269" t="s">
        <v>1791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3182</v>
      </c>
      <c r="E1246" s="292" t="s">
        <v>1202</v>
      </c>
      <c r="F1246" s="269" t="s">
        <v>1748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3182</v>
      </c>
      <c r="E1247" s="292" t="s">
        <v>1492</v>
      </c>
      <c r="F1247" s="269" t="s">
        <v>2675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3179</v>
      </c>
      <c r="E1248" s="292" t="s">
        <v>3187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3182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3179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1286</v>
      </c>
      <c r="E1251" s="292" t="s">
        <v>1642</v>
      </c>
      <c r="F1251" s="269" t="s">
        <v>2344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3202</v>
      </c>
    </row>
    <row r="1252" spans="1:13" x14ac:dyDescent="0.3">
      <c r="A1252" s="271">
        <v>1251</v>
      </c>
      <c r="B1252" s="264">
        <v>45883</v>
      </c>
      <c r="C1252" s="292" t="s">
        <v>1490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1475</v>
      </c>
      <c r="E1253" s="292" t="s">
        <v>2183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1475</v>
      </c>
      <c r="E1254" s="292" t="s">
        <v>2184</v>
      </c>
      <c r="F1254" s="269" t="s">
        <v>1255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1475</v>
      </c>
      <c r="E1255" s="292" t="s">
        <v>2188</v>
      </c>
      <c r="F1255" s="269" t="s">
        <v>1818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1576</v>
      </c>
      <c r="E1256" s="292" t="s">
        <v>3192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2176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2183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2182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3195</v>
      </c>
    </row>
    <row r="1260" spans="1:13" x14ac:dyDescent="0.3">
      <c r="A1260" s="271">
        <v>1259</v>
      </c>
      <c r="B1260" s="264">
        <v>45883</v>
      </c>
      <c r="C1260" s="292" t="s">
        <v>3197</v>
      </c>
      <c r="E1260" s="292" t="s">
        <v>1739</v>
      </c>
      <c r="G1260" s="265">
        <v>600000</v>
      </c>
      <c r="H1260" s="269">
        <v>1</v>
      </c>
      <c r="K1260" s="265">
        <v>600000</v>
      </c>
      <c r="M1260" s="269" t="s">
        <v>3198</v>
      </c>
    </row>
    <row r="1261" spans="1:13" x14ac:dyDescent="0.3">
      <c r="A1261" s="271">
        <v>1260</v>
      </c>
      <c r="B1261" s="264">
        <v>45883</v>
      </c>
      <c r="C1261" s="292" t="s">
        <v>1317</v>
      </c>
      <c r="E1261" s="292" t="s">
        <v>3325</v>
      </c>
      <c r="F1261" s="269" t="s">
        <v>3326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2406</v>
      </c>
      <c r="E1265" s="292" t="s">
        <v>2676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1890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1330</v>
      </c>
      <c r="E1267" s="292" t="s">
        <v>3213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1395</v>
      </c>
      <c r="E1268" s="292" t="s">
        <v>2647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3205</v>
      </c>
      <c r="E1269" s="292" t="s">
        <v>2295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3205</v>
      </c>
      <c r="E1270" s="292" t="s">
        <v>2836</v>
      </c>
      <c r="F1270" s="269" t="s">
        <v>2746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1718</v>
      </c>
      <c r="E1271" s="292" t="s">
        <v>2183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1718</v>
      </c>
      <c r="E1272" s="292" t="s">
        <v>2184</v>
      </c>
      <c r="F1272" s="269" t="s">
        <v>1255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3197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2406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1445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1395</v>
      </c>
      <c r="E1276" s="292" t="s">
        <v>1739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1475</v>
      </c>
      <c r="E1277" s="292" t="s">
        <v>2183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1475</v>
      </c>
      <c r="E1278" s="292" t="s">
        <v>2184</v>
      </c>
      <c r="F1278" s="269" t="s">
        <v>1255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1475</v>
      </c>
      <c r="E1279" s="292" t="s">
        <v>2188</v>
      </c>
      <c r="F1279" s="269" t="s">
        <v>1818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1475</v>
      </c>
      <c r="E1280" s="292" t="s">
        <v>2187</v>
      </c>
      <c r="F1280" s="269" t="s">
        <v>1791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1475</v>
      </c>
      <c r="E1281" s="292" t="s">
        <v>1202</v>
      </c>
      <c r="F1281" s="269" t="s">
        <v>1748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1475</v>
      </c>
      <c r="E1282" s="292" t="s">
        <v>1492</v>
      </c>
      <c r="F1282" s="269" t="s">
        <v>2675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1440</v>
      </c>
      <c r="E1283" s="292" t="s">
        <v>2192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1440</v>
      </c>
      <c r="E1284" s="292" t="s">
        <v>2052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1463</v>
      </c>
      <c r="E1285" s="292" t="s">
        <v>3217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1463</v>
      </c>
      <c r="E1286" s="292" t="s">
        <v>3217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3218</v>
      </c>
    </row>
    <row r="1287" spans="1:13" x14ac:dyDescent="0.3">
      <c r="A1287" s="271">
        <v>1286</v>
      </c>
      <c r="B1287" s="264">
        <v>45887</v>
      </c>
      <c r="C1287" s="292" t="s">
        <v>1330</v>
      </c>
      <c r="E1287" s="292" t="s">
        <v>1218</v>
      </c>
      <c r="F1287" s="269" t="s">
        <v>2158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1973</v>
      </c>
      <c r="E1288" s="292" t="s">
        <v>2176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3222</v>
      </c>
    </row>
    <row r="1289" spans="1:13" x14ac:dyDescent="0.3">
      <c r="A1289" s="271">
        <v>1288</v>
      </c>
      <c r="B1289" s="264">
        <v>45887</v>
      </c>
      <c r="C1289" s="292" t="s">
        <v>1315</v>
      </c>
      <c r="E1289" s="292" t="s">
        <v>1719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1594</v>
      </c>
      <c r="E1290" s="292" t="s">
        <v>2176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3224</v>
      </c>
    </row>
    <row r="1291" spans="1:13" x14ac:dyDescent="0.3">
      <c r="A1291" s="271">
        <v>1290</v>
      </c>
      <c r="B1291" s="264">
        <v>45887</v>
      </c>
      <c r="C1291" s="292" t="s">
        <v>1973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1450</v>
      </c>
      <c r="E1292" s="292" t="s">
        <v>2176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3226</v>
      </c>
    </row>
    <row r="1293" spans="1:13" x14ac:dyDescent="0.3">
      <c r="A1293" s="271">
        <v>1292</v>
      </c>
      <c r="B1293" s="264">
        <v>45887</v>
      </c>
      <c r="C1293" s="292" t="s">
        <v>3205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1445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1573</v>
      </c>
      <c r="E1295" s="292" t="s">
        <v>2842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1573</v>
      </c>
      <c r="E1296" s="292" t="s">
        <v>2771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3228</v>
      </c>
    </row>
    <row r="1297" spans="1:13" x14ac:dyDescent="0.3">
      <c r="A1297" s="271">
        <v>1296</v>
      </c>
      <c r="B1297" s="264">
        <v>45888</v>
      </c>
      <c r="C1297" s="292" t="s">
        <v>1573</v>
      </c>
      <c r="E1297" s="292" t="s">
        <v>1515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1395</v>
      </c>
      <c r="E1298" s="292" t="s">
        <v>2023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1469</v>
      </c>
      <c r="E1299" s="292" t="s">
        <v>2286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1594</v>
      </c>
      <c r="E1300" s="292" t="s">
        <v>1202</v>
      </c>
      <c r="F1300" s="269" t="s">
        <v>1748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1395</v>
      </c>
      <c r="E1301" s="292" t="s">
        <v>1739</v>
      </c>
      <c r="G1301" s="265">
        <v>650000</v>
      </c>
      <c r="H1301" s="269">
        <v>1</v>
      </c>
      <c r="K1301" s="265">
        <v>650000</v>
      </c>
      <c r="M1301" s="269" t="s">
        <v>3233</v>
      </c>
    </row>
    <row r="1302" spans="1:13" x14ac:dyDescent="0.3">
      <c r="A1302" s="271">
        <v>1301</v>
      </c>
      <c r="B1302" s="264">
        <v>45888</v>
      </c>
      <c r="C1302" s="292" t="s">
        <v>1594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2606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2182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3235</v>
      </c>
    </row>
    <row r="1305" spans="1:13" x14ac:dyDescent="0.3">
      <c r="A1305" s="271">
        <v>1304</v>
      </c>
      <c r="B1305" s="264">
        <v>45889</v>
      </c>
      <c r="C1305" s="292" t="s">
        <v>1537</v>
      </c>
      <c r="E1305" s="292" t="s">
        <v>1739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2176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2177</v>
      </c>
      <c r="F1307" s="269" t="s">
        <v>1799</v>
      </c>
      <c r="G1307" s="265">
        <v>50000</v>
      </c>
      <c r="H1307" s="269">
        <v>1</v>
      </c>
      <c r="K1307" s="265">
        <v>50000</v>
      </c>
      <c r="M1307" s="269" t="s">
        <v>3239</v>
      </c>
    </row>
    <row r="1308" spans="1:13" x14ac:dyDescent="0.3">
      <c r="A1308" s="271">
        <v>1307</v>
      </c>
      <c r="B1308" s="264">
        <v>45889</v>
      </c>
      <c r="C1308" s="292" t="s">
        <v>2554</v>
      </c>
      <c r="E1308" s="292" t="s">
        <v>1739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2257</v>
      </c>
      <c r="E1309" s="292" t="s">
        <v>1202</v>
      </c>
      <c r="F1309" s="269" t="s">
        <v>1748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2363</v>
      </c>
      <c r="E1310" s="292" t="s">
        <v>3242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1374</v>
      </c>
      <c r="E1311" s="292" t="s">
        <v>1713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2912</v>
      </c>
      <c r="E1312" s="292" t="s">
        <v>2286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1576</v>
      </c>
      <c r="E1313" s="292" t="s">
        <v>1740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1576</v>
      </c>
      <c r="E1314" s="292" t="s">
        <v>1262</v>
      </c>
      <c r="F1314" s="269" t="s">
        <v>1261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2554</v>
      </c>
      <c r="E1315" s="292" t="s">
        <v>2174</v>
      </c>
      <c r="F1315" s="269" t="s">
        <v>1460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1718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3248</v>
      </c>
    </row>
    <row r="1317" spans="1:13" x14ac:dyDescent="0.3">
      <c r="A1317" s="271">
        <v>1316</v>
      </c>
      <c r="B1317" s="264">
        <v>45890</v>
      </c>
      <c r="C1317" s="292" t="s">
        <v>1395</v>
      </c>
      <c r="E1317" s="292" t="s">
        <v>2176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1395</v>
      </c>
      <c r="E1318" s="292" t="s">
        <v>3250</v>
      </c>
      <c r="H1318" s="269">
        <v>1</v>
      </c>
      <c r="L1318" s="265">
        <v>-600000</v>
      </c>
      <c r="M1318" s="269" t="s">
        <v>3251</v>
      </c>
    </row>
    <row r="1319" spans="1:13" x14ac:dyDescent="0.3">
      <c r="A1319" s="271">
        <v>1318</v>
      </c>
      <c r="B1319" s="264">
        <v>45890</v>
      </c>
      <c r="C1319" s="292" t="s">
        <v>1395</v>
      </c>
      <c r="E1319" s="292" t="s">
        <v>2177</v>
      </c>
      <c r="F1319" s="269" t="s">
        <v>1799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3116</v>
      </c>
      <c r="E1320" s="292" t="s">
        <v>2414</v>
      </c>
      <c r="F1320" s="269" t="s">
        <v>2744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2912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3116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2257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2554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1450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2854</v>
      </c>
      <c r="E1326" s="292" t="s">
        <v>2810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1808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1808</v>
      </c>
      <c r="E1328" s="292" t="s">
        <v>2183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3256</v>
      </c>
    </row>
    <row r="1329" spans="1:13" x14ac:dyDescent="0.3">
      <c r="A1329" s="271">
        <v>1328</v>
      </c>
      <c r="B1329" s="264">
        <v>45891</v>
      </c>
      <c r="C1329" s="292" t="s">
        <v>3258</v>
      </c>
      <c r="E1329" s="292" t="s">
        <v>3261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1315</v>
      </c>
      <c r="E1330" s="292" t="s">
        <v>1719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3264</v>
      </c>
      <c r="E1331" s="292" t="s">
        <v>3265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3266</v>
      </c>
    </row>
    <row r="1332" spans="1:13" x14ac:dyDescent="0.3">
      <c r="A1332" s="271">
        <v>1331</v>
      </c>
      <c r="B1332" s="264">
        <v>45891</v>
      </c>
      <c r="C1332" s="292" t="s">
        <v>3258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3264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2854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2554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2606</v>
      </c>
      <c r="E1337" s="292" t="s">
        <v>1742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1374</v>
      </c>
      <c r="E1338" s="292" t="s">
        <v>1742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1395</v>
      </c>
      <c r="E1341" s="292" t="s">
        <v>1740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1395</v>
      </c>
      <c r="E1342" s="292" t="s">
        <v>1202</v>
      </c>
      <c r="F1342" s="269" t="s">
        <v>1748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1395</v>
      </c>
      <c r="E1343" s="292" t="s">
        <v>2836</v>
      </c>
      <c r="F1343" s="269" t="s">
        <v>2746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1395</v>
      </c>
      <c r="E1344" s="292" t="s">
        <v>2183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1395</v>
      </c>
      <c r="E1345" s="292" t="s">
        <v>2184</v>
      </c>
      <c r="F1345" s="269" t="s">
        <v>1255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1395</v>
      </c>
      <c r="E1346" s="292" t="s">
        <v>2187</v>
      </c>
      <c r="F1346" s="269" t="s">
        <v>1791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1395</v>
      </c>
      <c r="E1347" s="292" t="s">
        <v>2188</v>
      </c>
      <c r="F1347" s="269" t="s">
        <v>1818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1801</v>
      </c>
      <c r="E1348" s="292" t="s">
        <v>2183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1801</v>
      </c>
      <c r="E1349" s="292" t="s">
        <v>2184</v>
      </c>
      <c r="F1349" s="269" t="s">
        <v>1255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1801</v>
      </c>
      <c r="E1350" s="292" t="s">
        <v>2187</v>
      </c>
      <c r="F1350" s="269" t="s">
        <v>1791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1801</v>
      </c>
      <c r="E1351" s="292" t="s">
        <v>2188</v>
      </c>
      <c r="F1351" s="269" t="s">
        <v>1818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3116</v>
      </c>
      <c r="E1352" s="292" t="s">
        <v>3277</v>
      </c>
      <c r="F1352" s="269" t="s">
        <v>3278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2912</v>
      </c>
      <c r="E1353" s="292" t="s">
        <v>2133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1573</v>
      </c>
      <c r="E1354" s="292" t="s">
        <v>2915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2288</v>
      </c>
      <c r="E1355" s="292" t="s">
        <v>3066</v>
      </c>
      <c r="F1355" s="269" t="s">
        <v>2323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2554</v>
      </c>
      <c r="E1356" s="292" t="s">
        <v>2023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2554</v>
      </c>
      <c r="E1357" s="292" t="s">
        <v>1736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3285</v>
      </c>
      <c r="E1358" s="292" t="s">
        <v>2176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3285</v>
      </c>
      <c r="E1359" s="292" t="s">
        <v>2176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1739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2406</v>
      </c>
      <c r="E1361" s="292" t="s">
        <v>3292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2302</v>
      </c>
      <c r="E1362" s="292" t="s">
        <v>2295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1573</v>
      </c>
      <c r="E1363" s="292" t="s">
        <v>2183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1270</v>
      </c>
      <c r="E1364" s="292" t="s">
        <v>2982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1573</v>
      </c>
      <c r="E1365" s="292" t="s">
        <v>2187</v>
      </c>
      <c r="F1365" s="269" t="s">
        <v>1791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1573</v>
      </c>
      <c r="E1366" s="292" t="s">
        <v>2188</v>
      </c>
      <c r="F1366" s="269" t="s">
        <v>1818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1573</v>
      </c>
      <c r="E1367" s="292" t="s">
        <v>2190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1573</v>
      </c>
      <c r="E1368" s="292" t="s">
        <v>2183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1573</v>
      </c>
      <c r="E1369" s="292" t="s">
        <v>2186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1573</v>
      </c>
      <c r="E1370" s="292" t="s">
        <v>2187</v>
      </c>
      <c r="F1370" s="269" t="s">
        <v>1791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1573</v>
      </c>
      <c r="E1371" s="292" t="s">
        <v>2188</v>
      </c>
      <c r="F1371" s="269" t="s">
        <v>1818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1573</v>
      </c>
      <c r="E1372" s="292" t="s">
        <v>2190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2183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2211</v>
      </c>
      <c r="E1374" s="292" t="s">
        <v>2982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1440</v>
      </c>
      <c r="E1375" s="292" t="s">
        <v>3298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1440</v>
      </c>
      <c r="E1376" s="292" t="s">
        <v>3299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1576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2406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2288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2912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3285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1537</v>
      </c>
      <c r="E1383" s="292" t="s">
        <v>1915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1465</v>
      </c>
      <c r="E1384" s="292" t="s">
        <v>1912</v>
      </c>
      <c r="F1384" s="269" t="s">
        <v>2050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2182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1576</v>
      </c>
      <c r="E1386" s="292" t="s">
        <v>3304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1440</v>
      </c>
      <c r="E1387" s="292" t="s">
        <v>2183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1440</v>
      </c>
      <c r="E1388" s="292" t="s">
        <v>2186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1440</v>
      </c>
      <c r="E1389" s="292" t="s">
        <v>2187</v>
      </c>
      <c r="F1389" s="269" t="s">
        <v>1791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1440</v>
      </c>
      <c r="E1390" s="292" t="s">
        <v>1713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2854</v>
      </c>
      <c r="E1391" s="292" t="s">
        <v>3308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2854</v>
      </c>
      <c r="E1392" s="292" t="s">
        <v>1515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2854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1786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2302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1337</v>
      </c>
      <c r="E1396" s="292" t="s">
        <v>1218</v>
      </c>
      <c r="F1396" s="269" t="s">
        <v>2158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1469</v>
      </c>
      <c r="E1397" s="292" t="s">
        <v>3312</v>
      </c>
      <c r="F1397" s="269" t="s">
        <v>3313</v>
      </c>
      <c r="M1397" s="269"/>
    </row>
    <row r="1398" spans="1:13" x14ac:dyDescent="0.3">
      <c r="A1398" s="271">
        <v>1397</v>
      </c>
      <c r="B1398" s="264">
        <v>45896</v>
      </c>
      <c r="C1398" s="292" t="s">
        <v>3111</v>
      </c>
      <c r="E1398" s="292" t="s">
        <v>2174</v>
      </c>
      <c r="F1398" s="269" t="s">
        <v>1460</v>
      </c>
      <c r="G1398" s="265">
        <v>2500000</v>
      </c>
      <c r="H1398" s="269">
        <v>1</v>
      </c>
      <c r="K1398" s="265">
        <v>2500000</v>
      </c>
      <c r="M1398" s="269" t="s">
        <v>3315</v>
      </c>
    </row>
    <row r="1399" spans="1:13" x14ac:dyDescent="0.3">
      <c r="A1399" s="271">
        <v>1398</v>
      </c>
      <c r="B1399" s="264">
        <v>45896</v>
      </c>
      <c r="C1399" s="292" t="s">
        <v>1743</v>
      </c>
      <c r="E1399" s="292" t="s">
        <v>2192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2414</v>
      </c>
      <c r="F1400" s="269" t="s">
        <v>2744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2464</v>
      </c>
      <c r="E1401" s="292" t="s">
        <v>1719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2554</v>
      </c>
      <c r="E1402" s="292" t="s">
        <v>3320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3111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1337</v>
      </c>
      <c r="E1404" s="292" t="s">
        <v>1666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2463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3116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2593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1283</v>
      </c>
      <c r="E1408" s="292" t="s">
        <v>3334</v>
      </c>
      <c r="G1408" s="265">
        <v>2500000</v>
      </c>
      <c r="H1408" s="269">
        <v>1</v>
      </c>
      <c r="J1408" s="266" t="s">
        <v>3335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1786</v>
      </c>
      <c r="E1409" s="292" t="s">
        <v>1739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2409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2193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1557</v>
      </c>
      <c r="F1412" s="269" t="s">
        <v>1764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1515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1573</v>
      </c>
      <c r="E1414" s="292" t="s">
        <v>2915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1718</v>
      </c>
      <c r="E1415" s="292" t="s">
        <v>2176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1718</v>
      </c>
      <c r="E1416" s="292" t="s">
        <v>2177</v>
      </c>
      <c r="F1416" s="269" t="s">
        <v>1799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1469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1537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1465</v>
      </c>
      <c r="E1419" s="292" t="s">
        <v>2400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1465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1475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1808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2212</v>
      </c>
      <c r="F1424" s="269" t="s">
        <v>1756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2994</v>
      </c>
      <c r="E1425" s="292" t="s">
        <v>3336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3358</v>
      </c>
      <c r="F1427" s="269" t="s">
        <v>1728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2659</v>
      </c>
      <c r="F1428" s="269" t="s">
        <v>1729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2431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3478</v>
      </c>
      <c r="E1430" s="292" t="s">
        <v>3479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3478</v>
      </c>
      <c r="E1431" s="292" t="s">
        <v>3480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3478</v>
      </c>
      <c r="E1432" s="292" t="s">
        <v>3481</v>
      </c>
      <c r="F1432" s="269" t="s">
        <v>3482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3478</v>
      </c>
      <c r="E1433" s="292" t="s">
        <v>3483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3478</v>
      </c>
      <c r="E1434" s="292" t="s">
        <v>3484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1718</v>
      </c>
      <c r="E1435" s="292" t="s">
        <v>2174</v>
      </c>
      <c r="F1435" s="269" t="s">
        <v>1460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3197</v>
      </c>
      <c r="E1436" s="292" t="s">
        <v>1739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3197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2904</v>
      </c>
      <c r="E1438" s="292" t="s">
        <v>2653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3359</v>
      </c>
    </row>
    <row r="1439" spans="1:13" x14ac:dyDescent="0.3">
      <c r="A1439" s="271">
        <v>1438</v>
      </c>
      <c r="B1439" s="264">
        <v>45899</v>
      </c>
      <c r="C1439" s="292" t="s">
        <v>1743</v>
      </c>
      <c r="E1439" s="292" t="s">
        <v>2295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1550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1573</v>
      </c>
      <c r="E1441" s="292" t="s">
        <v>1742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1742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1395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1718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1801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1395</v>
      </c>
      <c r="E1447" s="292" t="s">
        <v>1202</v>
      </c>
      <c r="F1447" s="269" t="s">
        <v>1748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1395</v>
      </c>
      <c r="E1448" s="292" t="s">
        <v>1492</v>
      </c>
      <c r="F1448" s="269" t="s">
        <v>2675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1395</v>
      </c>
      <c r="E1449" s="292" t="s">
        <v>2836</v>
      </c>
      <c r="F1449" s="269" t="s">
        <v>2746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1395</v>
      </c>
      <c r="E1450" s="292" t="s">
        <v>2295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1395</v>
      </c>
      <c r="E1451" s="292" t="s">
        <v>1262</v>
      </c>
      <c r="F1451" s="269" t="s">
        <v>1261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1395</v>
      </c>
      <c r="E1452" s="292" t="s">
        <v>1701</v>
      </c>
      <c r="F1452" s="269" t="s">
        <v>1700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3478</v>
      </c>
      <c r="E1453" s="292" t="s">
        <v>3485</v>
      </c>
      <c r="F1453" s="269" t="s">
        <v>3486</v>
      </c>
      <c r="G1453" s="265">
        <v>800000</v>
      </c>
      <c r="H1453" s="269">
        <v>1</v>
      </c>
      <c r="K1453" s="265">
        <v>800000</v>
      </c>
      <c r="M1453" s="269" t="s">
        <v>3487</v>
      </c>
    </row>
    <row r="1454" spans="1:13" x14ac:dyDescent="0.3">
      <c r="A1454" s="271">
        <v>1453</v>
      </c>
      <c r="B1454" s="264">
        <v>45901</v>
      </c>
      <c r="C1454" s="292" t="s">
        <v>1469</v>
      </c>
      <c r="E1454" s="292" t="s">
        <v>2176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1808</v>
      </c>
      <c r="E1455" s="292" t="s">
        <v>1204</v>
      </c>
      <c r="F1455" s="269" t="s">
        <v>1559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1808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1440</v>
      </c>
      <c r="E1457" s="292" t="s">
        <v>2192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2758</v>
      </c>
      <c r="E1458" s="292" t="s">
        <v>2801</v>
      </c>
      <c r="F1458" s="269" t="s">
        <v>2800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2758</v>
      </c>
      <c r="E1459" s="292" t="s">
        <v>2179</v>
      </c>
      <c r="F1459" s="269" t="s">
        <v>1716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3343</v>
      </c>
      <c r="E1460" s="292" t="s">
        <v>3056</v>
      </c>
      <c r="F1460" s="269" t="s">
        <v>3055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1440</v>
      </c>
      <c r="E1461" s="292" t="s">
        <v>2176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2994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2758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3343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2865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2295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1973</v>
      </c>
      <c r="E1468" s="292" t="s">
        <v>2192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2994</v>
      </c>
      <c r="E1469" s="292" t="s">
        <v>2176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2994</v>
      </c>
      <c r="E1470" s="292" t="s">
        <v>2177</v>
      </c>
      <c r="F1470" s="269" t="s">
        <v>1799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2188</v>
      </c>
      <c r="F1471" s="269" t="s">
        <v>1818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1573</v>
      </c>
      <c r="E1472" s="292" t="s">
        <v>1739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1490</v>
      </c>
      <c r="E1473" s="292" t="s">
        <v>3365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1973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1808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1742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1786</v>
      </c>
      <c r="E1478" s="292" t="s">
        <v>2176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1786</v>
      </c>
      <c r="E1479" s="292" t="s">
        <v>2177</v>
      </c>
      <c r="F1479" s="269" t="s">
        <v>1799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1463</v>
      </c>
      <c r="E1480" s="292" t="s">
        <v>1492</v>
      </c>
      <c r="F1480" s="269" t="s">
        <v>2675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1440</v>
      </c>
      <c r="E1481" s="292" t="s">
        <v>2183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1440</v>
      </c>
      <c r="E1482" s="292" t="s">
        <v>2186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1557</v>
      </c>
      <c r="F1483" s="269" t="s">
        <v>1764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1494</v>
      </c>
      <c r="E1485" s="292" t="s">
        <v>3373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1576</v>
      </c>
      <c r="E1486" s="292" t="s">
        <v>2183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1576</v>
      </c>
      <c r="E1487" s="292" t="s">
        <v>2186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3285</v>
      </c>
      <c r="E1488" s="292" t="s">
        <v>2176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3441</v>
      </c>
      <c r="E1489" s="292" t="s">
        <v>3442</v>
      </c>
      <c r="F1489" s="269" t="s">
        <v>3443</v>
      </c>
      <c r="G1489" s="265">
        <v>1850000</v>
      </c>
      <c r="H1489" s="269">
        <v>1</v>
      </c>
      <c r="J1489" s="266" t="s">
        <v>3444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3608</v>
      </c>
      <c r="E1490" s="292" t="s">
        <v>3609</v>
      </c>
      <c r="F1490" s="269" t="s">
        <v>3610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1743</v>
      </c>
      <c r="E1492" s="292" t="s">
        <v>1858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3608</v>
      </c>
      <c r="E1493" s="292" t="s">
        <v>3611</v>
      </c>
      <c r="G1493" s="265">
        <v>150000</v>
      </c>
      <c r="H1493" s="269">
        <v>1</v>
      </c>
      <c r="J1493" s="266" t="s">
        <v>3612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1843</v>
      </c>
      <c r="E1494" s="292" t="s">
        <v>2810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3391</v>
      </c>
    </row>
    <row r="1495" spans="1:13" x14ac:dyDescent="0.3">
      <c r="A1495" s="271">
        <v>1494</v>
      </c>
      <c r="B1495" s="264">
        <v>45903</v>
      </c>
      <c r="C1495" s="292" t="s">
        <v>1743</v>
      </c>
      <c r="E1495" s="292" t="s">
        <v>1515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1743</v>
      </c>
      <c r="E1496" s="292" t="s">
        <v>1515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3424</v>
      </c>
      <c r="E1497" s="292" t="s">
        <v>3425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1494</v>
      </c>
      <c r="E1498" s="292" t="s">
        <v>1796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3285</v>
      </c>
      <c r="E1499" s="292" t="s">
        <v>1796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2315</v>
      </c>
      <c r="E1500" s="292" t="s">
        <v>1796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3393</v>
      </c>
      <c r="E1501" s="292" t="s">
        <v>1557</v>
      </c>
      <c r="F1501" s="269" t="s">
        <v>1764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1469</v>
      </c>
      <c r="E1502" s="292" t="s">
        <v>1664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1490</v>
      </c>
      <c r="E1503" s="292" t="s">
        <v>2295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1490</v>
      </c>
      <c r="E1504" s="292" t="s">
        <v>1492</v>
      </c>
      <c r="F1504" s="269" t="s">
        <v>2675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1490</v>
      </c>
      <c r="E1505" s="292" t="s">
        <v>3410</v>
      </c>
      <c r="F1505" s="269" t="s">
        <v>3409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3400</v>
      </c>
      <c r="E1506" s="292" t="s">
        <v>2409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3400</v>
      </c>
      <c r="E1507" s="292" t="s">
        <v>1262</v>
      </c>
      <c r="F1507" s="269" t="s">
        <v>1261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1475</v>
      </c>
      <c r="E1508" s="292" t="s">
        <v>1739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2912</v>
      </c>
      <c r="E1509" s="292" t="s">
        <v>2133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1469</v>
      </c>
      <c r="E1510" s="292" t="s">
        <v>2176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1718</v>
      </c>
      <c r="E1511" s="292" t="s">
        <v>2087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1475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3393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2912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1490</v>
      </c>
      <c r="E1515" s="292" t="s">
        <v>3426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1843</v>
      </c>
      <c r="E1516" s="292" t="s">
        <v>1742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1743</v>
      </c>
      <c r="E1517" s="292" t="s">
        <v>3427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3428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2182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3429</v>
      </c>
    </row>
    <row r="1520" spans="1:13" x14ac:dyDescent="0.3">
      <c r="A1520" s="271">
        <v>1519</v>
      </c>
      <c r="B1520" s="264">
        <v>45905</v>
      </c>
      <c r="C1520" s="292" t="s">
        <v>1463</v>
      </c>
      <c r="E1520" s="292" t="s">
        <v>2154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1748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1440</v>
      </c>
      <c r="E1522" s="292" t="s">
        <v>2028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1440</v>
      </c>
      <c r="E1523" s="292" t="s">
        <v>2829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1440</v>
      </c>
      <c r="E1524" s="292" t="s">
        <v>3432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1302</v>
      </c>
      <c r="E1525" s="292" t="s">
        <v>3047</v>
      </c>
      <c r="F1525" s="269" t="s">
        <v>1948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1718</v>
      </c>
      <c r="E1526" s="292" t="s">
        <v>3435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1718</v>
      </c>
      <c r="E1527" s="292" t="s">
        <v>1545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3145</v>
      </c>
      <c r="E1528" s="292" t="s">
        <v>1755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3145</v>
      </c>
      <c r="E1529" s="292" t="s">
        <v>2108</v>
      </c>
      <c r="F1529" s="269" t="s">
        <v>2578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3446</v>
      </c>
      <c r="E1530" s="292" t="s">
        <v>4027</v>
      </c>
      <c r="F1530" s="269" t="s">
        <v>2213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1395</v>
      </c>
      <c r="E1531" s="292" t="s">
        <v>1202</v>
      </c>
      <c r="F1531" s="269" t="s">
        <v>1748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1395</v>
      </c>
      <c r="E1532" s="292" t="s">
        <v>2836</v>
      </c>
      <c r="F1532" s="269" t="s">
        <v>2746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1445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1469</v>
      </c>
      <c r="E1534" s="292" t="s">
        <v>1742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3145</v>
      </c>
      <c r="E1535" s="292" t="s">
        <v>1742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3446</v>
      </c>
      <c r="E1536" s="292" t="s">
        <v>1742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1469</v>
      </c>
      <c r="E1537" s="292" t="s">
        <v>2183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3400</v>
      </c>
      <c r="E1538" s="292" t="s">
        <v>1742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3453</v>
      </c>
      <c r="E1539" s="292" t="s">
        <v>3460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3453</v>
      </c>
      <c r="E1540" s="292" t="s">
        <v>2186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3453</v>
      </c>
      <c r="E1541" s="292" t="s">
        <v>2187</v>
      </c>
      <c r="F1541" s="269" t="s">
        <v>1791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3453</v>
      </c>
      <c r="E1542" s="292" t="s">
        <v>2188</v>
      </c>
      <c r="F1542" s="269" t="s">
        <v>1818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2994</v>
      </c>
      <c r="E1543" s="292" t="s">
        <v>3463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3456</v>
      </c>
      <c r="E1544" s="292" t="s">
        <v>3465</v>
      </c>
      <c r="F1544" s="269" t="s">
        <v>1559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3453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3456</v>
      </c>
      <c r="E1546" s="292" t="s">
        <v>1796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1302</v>
      </c>
      <c r="E1547" s="292" t="s">
        <v>1796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1592</v>
      </c>
      <c r="E1548" s="292" t="s">
        <v>1796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1490</v>
      </c>
      <c r="E1549" s="292" t="s">
        <v>3467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1582</v>
      </c>
      <c r="E1550" s="292" t="s">
        <v>2103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1302</v>
      </c>
      <c r="E1551" s="292" t="s">
        <v>3460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1302</v>
      </c>
      <c r="E1552" s="292" t="s">
        <v>2186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1302</v>
      </c>
      <c r="E1553" s="292" t="s">
        <v>2187</v>
      </c>
      <c r="F1553" s="269" t="s">
        <v>1791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1302</v>
      </c>
      <c r="E1554" s="292" t="s">
        <v>2188</v>
      </c>
      <c r="F1554" s="269" t="s">
        <v>1818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1576</v>
      </c>
      <c r="E1555" s="292" t="s">
        <v>3460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1667</v>
      </c>
      <c r="E1556" s="292" t="s">
        <v>3473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2133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1475</v>
      </c>
      <c r="E1558" s="292" t="s">
        <v>3460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1475</v>
      </c>
      <c r="E1559" s="292" t="s">
        <v>2184</v>
      </c>
      <c r="F1559" s="269" t="s">
        <v>1255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1475</v>
      </c>
      <c r="E1560" s="292" t="s">
        <v>2188</v>
      </c>
      <c r="F1560" s="269" t="s">
        <v>1818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1475</v>
      </c>
      <c r="E1561" s="292" t="s">
        <v>2187</v>
      </c>
      <c r="F1561" s="269" t="s">
        <v>1791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1395</v>
      </c>
      <c r="E1562" s="292" t="s">
        <v>1739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1796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1550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1302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3513</v>
      </c>
      <c r="E1567" s="292" t="s">
        <v>3514</v>
      </c>
      <c r="G1567" s="265">
        <v>1100000</v>
      </c>
      <c r="H1567" s="269">
        <v>1</v>
      </c>
      <c r="J1567" s="266" t="s">
        <v>3515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2406</v>
      </c>
      <c r="E1568" s="292" t="s">
        <v>2185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2182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2463</v>
      </c>
      <c r="E1570" s="292" t="s">
        <v>1713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1863</v>
      </c>
      <c r="E1571" s="292" t="s">
        <v>2193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1863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2463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1445</v>
      </c>
      <c r="E1575" s="292" t="s">
        <v>3501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1667</v>
      </c>
      <c r="E1576" s="292" t="s">
        <v>1202</v>
      </c>
      <c r="F1576" s="269" t="s">
        <v>1748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1667</v>
      </c>
      <c r="E1577" s="292" t="s">
        <v>1492</v>
      </c>
      <c r="F1577" s="269" t="s">
        <v>2675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3654</v>
      </c>
      <c r="E1578" s="292" t="s">
        <v>3656</v>
      </c>
      <c r="F1578" s="269" t="s">
        <v>3657</v>
      </c>
      <c r="G1578" s="265">
        <v>150000</v>
      </c>
      <c r="H1578" s="269">
        <v>1</v>
      </c>
      <c r="K1578" s="265">
        <v>150000</v>
      </c>
      <c r="M1578" s="292" t="s">
        <v>3658</v>
      </c>
    </row>
    <row r="1579" spans="1:13" x14ac:dyDescent="0.3">
      <c r="A1579" s="271">
        <v>1578</v>
      </c>
      <c r="B1579" s="264">
        <v>45910</v>
      </c>
      <c r="C1579" s="292" t="s">
        <v>1537</v>
      </c>
      <c r="E1579" s="292" t="s">
        <v>1202</v>
      </c>
      <c r="F1579" s="269" t="s">
        <v>1748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1537</v>
      </c>
      <c r="E1580" s="292" t="s">
        <v>3500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3497</v>
      </c>
      <c r="E1581" s="292" t="s">
        <v>3460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1440</v>
      </c>
      <c r="E1582" s="292" t="s">
        <v>3432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3384</v>
      </c>
      <c r="E1583" s="292" t="s">
        <v>2176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3384</v>
      </c>
      <c r="E1584" s="292" t="s">
        <v>2177</v>
      </c>
      <c r="F1584" s="269" t="s">
        <v>1799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1440</v>
      </c>
      <c r="E1585" s="292" t="s">
        <v>3298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1302</v>
      </c>
      <c r="E1586" s="292" t="s">
        <v>2190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2779</v>
      </c>
      <c r="E1587" s="292" t="s">
        <v>2286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1786</v>
      </c>
      <c r="E1588" s="292" t="s">
        <v>2190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1786</v>
      </c>
      <c r="E1589" s="292" t="s">
        <v>3460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1786</v>
      </c>
      <c r="E1590" s="292" t="s">
        <v>2188</v>
      </c>
      <c r="F1590" s="269" t="s">
        <v>1818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1786</v>
      </c>
      <c r="E1591" s="292" t="s">
        <v>2187</v>
      </c>
      <c r="F1591" s="269" t="s">
        <v>1791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1786</v>
      </c>
      <c r="E1592" s="292" t="s">
        <v>1515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1463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3384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1302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1445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2406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1582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2779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3497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1463</v>
      </c>
      <c r="E1601" s="292" t="s">
        <v>3217</v>
      </c>
      <c r="F1601" s="269" t="s">
        <v>3517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2176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2177</v>
      </c>
      <c r="F1603" s="269" t="s">
        <v>1799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1808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2392</v>
      </c>
      <c r="F1605" s="269" t="s">
        <v>2883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1445</v>
      </c>
      <c r="E1606" s="292" t="s">
        <v>3373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1445</v>
      </c>
      <c r="E1607" s="292" t="s">
        <v>1545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1445</v>
      </c>
      <c r="E1608" s="292" t="s">
        <v>3524</v>
      </c>
      <c r="F1608" s="269" t="s">
        <v>3523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1395</v>
      </c>
      <c r="E1609" s="292" t="s">
        <v>2409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1786</v>
      </c>
      <c r="E1610" s="292" t="s">
        <v>3373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1786</v>
      </c>
      <c r="E1611" s="292" t="s">
        <v>1515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3111</v>
      </c>
      <c r="E1612" s="292" t="s">
        <v>1739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1576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3111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1469</v>
      </c>
      <c r="E1616" s="292" t="s">
        <v>2192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1667</v>
      </c>
      <c r="E1617" s="292" t="s">
        <v>2414</v>
      </c>
      <c r="F1617" s="269" t="s">
        <v>2744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1718</v>
      </c>
      <c r="E1618" s="292" t="s">
        <v>1531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2912</v>
      </c>
      <c r="E1619" s="292" t="s">
        <v>2936</v>
      </c>
      <c r="F1619" s="269" t="s">
        <v>3113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1718</v>
      </c>
      <c r="E1620" s="292" t="s">
        <v>3535</v>
      </c>
      <c r="F1620" s="269" t="s">
        <v>2323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1465</v>
      </c>
      <c r="E1621" s="292" t="s">
        <v>2185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3538</v>
      </c>
      <c r="E1622" s="292" t="s">
        <v>3269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3540</v>
      </c>
      <c r="E1623" s="292" t="s">
        <v>3541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1445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3538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1718</v>
      </c>
      <c r="E1626" s="292" t="s">
        <v>1740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1445</v>
      </c>
      <c r="E1627" s="292" t="s">
        <v>1202</v>
      </c>
      <c r="F1627" s="269" t="s">
        <v>1748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1976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1976</v>
      </c>
      <c r="E1629" s="292" t="s">
        <v>2909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2176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2177</v>
      </c>
      <c r="F1631" s="269" t="s">
        <v>1799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1857</v>
      </c>
      <c r="E1632" s="292" t="s">
        <v>3544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1395</v>
      </c>
      <c r="E1633" s="292" t="s">
        <v>1739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1440</v>
      </c>
      <c r="E1635" s="292" t="s">
        <v>2191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1440</v>
      </c>
      <c r="E1636" s="292" t="s">
        <v>3553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1576</v>
      </c>
      <c r="E1637" s="292" t="s">
        <v>2052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1743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2619</v>
      </c>
      <c r="E1639" s="292" t="s">
        <v>1742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1976</v>
      </c>
      <c r="E1640" s="292" t="s">
        <v>1742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1667</v>
      </c>
      <c r="E1641" s="292" t="s">
        <v>1742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1576</v>
      </c>
      <c r="E1642" s="292" t="s">
        <v>3460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2288</v>
      </c>
      <c r="E1643" s="292" t="s">
        <v>3460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1976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3556</v>
      </c>
    </row>
    <row r="1645" spans="1:13" x14ac:dyDescent="0.3">
      <c r="A1645" s="271">
        <v>1644</v>
      </c>
      <c r="B1645" s="264">
        <v>45916</v>
      </c>
      <c r="C1645" s="292" t="s">
        <v>1440</v>
      </c>
      <c r="E1645" s="292" t="s">
        <v>2192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1450</v>
      </c>
      <c r="E1646" s="292" t="s">
        <v>2133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1988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1718</v>
      </c>
      <c r="E1648" s="292" t="s">
        <v>1545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2190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1490</v>
      </c>
      <c r="E1650" s="292" t="s">
        <v>2295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1445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2288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1490</v>
      </c>
      <c r="E1653" s="292" t="s">
        <v>1742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1742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1469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1465</v>
      </c>
      <c r="E1656" s="292" t="s">
        <v>1742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1808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3568</v>
      </c>
      <c r="E1658" s="292" t="s">
        <v>3460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1801</v>
      </c>
      <c r="E1659" s="292" t="s">
        <v>3460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1801</v>
      </c>
      <c r="E1660" s="292" t="s">
        <v>2182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1801</v>
      </c>
      <c r="E1661" s="292" t="s">
        <v>2184</v>
      </c>
      <c r="F1661" s="269" t="s">
        <v>1255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1801</v>
      </c>
      <c r="E1662" s="292" t="s">
        <v>2188</v>
      </c>
      <c r="F1662" s="269" t="s">
        <v>1818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1743</v>
      </c>
      <c r="E1663" s="292" t="s">
        <v>2295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1743</v>
      </c>
      <c r="E1664" s="292" t="s">
        <v>2186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1743</v>
      </c>
      <c r="E1665" s="292" t="s">
        <v>2186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1743</v>
      </c>
      <c r="E1666" s="292" t="s">
        <v>1515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1718</v>
      </c>
      <c r="E1667" s="292" t="s">
        <v>3578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1718</v>
      </c>
      <c r="E1668" s="292" t="s">
        <v>1712</v>
      </c>
      <c r="F1668" s="269" t="s">
        <v>1711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2141</v>
      </c>
      <c r="E1669" s="292" t="s">
        <v>3460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2141</v>
      </c>
      <c r="E1670" s="292" t="s">
        <v>2182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2141</v>
      </c>
      <c r="E1671" s="292" t="s">
        <v>2187</v>
      </c>
      <c r="F1671" s="269" t="s">
        <v>1791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2144</v>
      </c>
      <c r="E1672" s="292" t="s">
        <v>1713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1667</v>
      </c>
      <c r="E1673" s="292" t="s">
        <v>2286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1976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1395</v>
      </c>
      <c r="E1675" s="292" t="s">
        <v>3578</v>
      </c>
      <c r="F1675" s="269" t="s">
        <v>3588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2801</v>
      </c>
      <c r="F1676" s="269" t="s">
        <v>2800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2179</v>
      </c>
      <c r="F1677" s="269" t="s">
        <v>1716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1463</v>
      </c>
      <c r="E1678" s="292" t="s">
        <v>2676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1469</v>
      </c>
      <c r="E1679" s="292" t="s">
        <v>1202</v>
      </c>
      <c r="F1679" s="269" t="s">
        <v>1748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3116</v>
      </c>
      <c r="E1680" s="292" t="s">
        <v>2039</v>
      </c>
      <c r="F1680" s="269" t="s">
        <v>3598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1927</v>
      </c>
      <c r="E1681" s="292" t="s">
        <v>3038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1927</v>
      </c>
      <c r="E1682" s="292" t="s">
        <v>2900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3445</v>
      </c>
      <c r="E1683" s="292" t="s">
        <v>3590</v>
      </c>
      <c r="F1683" s="269" t="s">
        <v>3589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1440</v>
      </c>
      <c r="E1684" s="292" t="s">
        <v>2023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1440</v>
      </c>
      <c r="E1685" s="292" t="s">
        <v>3587</v>
      </c>
      <c r="F1685" s="269" t="s">
        <v>3586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1440</v>
      </c>
      <c r="E1686" s="292" t="s">
        <v>3578</v>
      </c>
      <c r="F1686" s="269" t="s">
        <v>3588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1743</v>
      </c>
      <c r="E1687" s="292" t="s">
        <v>3584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2805</v>
      </c>
      <c r="E1688" s="292" t="s">
        <v>1531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3111</v>
      </c>
      <c r="E1689" s="292" t="s">
        <v>2192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2700</v>
      </c>
      <c r="E1690" s="292" t="s">
        <v>1557</v>
      </c>
      <c r="F1690" s="269" t="s">
        <v>2693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2700</v>
      </c>
      <c r="E1691" s="292" t="s">
        <v>1733</v>
      </c>
      <c r="F1691" s="269" t="s">
        <v>2830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3620</v>
      </c>
      <c r="E1692" s="292" t="s">
        <v>3621</v>
      </c>
      <c r="F1692" s="269" t="s">
        <v>3622</v>
      </c>
      <c r="G1692" s="265">
        <v>350000</v>
      </c>
      <c r="H1692" s="269">
        <v>2</v>
      </c>
      <c r="J1692" s="266" t="s">
        <v>3623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3111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1450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2144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3445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3568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2179</v>
      </c>
      <c r="F1699" s="269" t="s">
        <v>1716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1395</v>
      </c>
      <c r="E1700" s="292" t="s">
        <v>1739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3578</v>
      </c>
      <c r="F1701" s="269" t="s">
        <v>3588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2738</v>
      </c>
      <c r="E1702" s="292" t="s">
        <v>3617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3619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2805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3116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2700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2315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2738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1927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1786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1805</v>
      </c>
      <c r="E1712" s="292" t="s">
        <v>1492</v>
      </c>
      <c r="F1712" s="269" t="s">
        <v>2675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1667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3706</v>
      </c>
      <c r="E1714" s="292" t="s">
        <v>3707</v>
      </c>
      <c r="F1714" s="269" t="s">
        <v>3708</v>
      </c>
      <c r="G1714" s="265">
        <v>1300000</v>
      </c>
      <c r="H1714" s="269">
        <v>1</v>
      </c>
      <c r="J1714" s="266" t="s">
        <v>3139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1973</v>
      </c>
      <c r="E1715" s="292" t="s">
        <v>2176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1973</v>
      </c>
      <c r="E1716" s="292" t="s">
        <v>2177</v>
      </c>
      <c r="F1716" s="269" t="s">
        <v>1799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1576</v>
      </c>
      <c r="E1717" s="292" t="s">
        <v>2184</v>
      </c>
      <c r="F1717" s="269" t="s">
        <v>1255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1463</v>
      </c>
      <c r="E1718" s="292" t="s">
        <v>1858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1438</v>
      </c>
      <c r="E1719" s="292" t="s">
        <v>1492</v>
      </c>
      <c r="F1719" s="269" t="s">
        <v>2675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2406</v>
      </c>
      <c r="E1720" s="292" t="s">
        <v>1204</v>
      </c>
      <c r="F1720" s="269" t="s">
        <v>1988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2406</v>
      </c>
      <c r="E1721" s="292" t="s">
        <v>2676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2406</v>
      </c>
      <c r="E1722" s="292" t="s">
        <v>1557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2176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2177</v>
      </c>
      <c r="F1724" s="269" t="s">
        <v>1799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1973</v>
      </c>
      <c r="E1725" s="292" t="s">
        <v>1742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1438</v>
      </c>
      <c r="E1726" s="292" t="s">
        <v>1742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2994</v>
      </c>
      <c r="E1727" s="292" t="s">
        <v>1742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1742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2406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2198</v>
      </c>
      <c r="F1730" s="269" t="s">
        <v>1952</v>
      </c>
      <c r="G1730" s="265">
        <v>1800000</v>
      </c>
      <c r="H1730" s="269">
        <v>1</v>
      </c>
      <c r="K1730" s="265">
        <v>1800000</v>
      </c>
      <c r="M1730" s="292" t="s">
        <v>3642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2177</v>
      </c>
      <c r="F1731" s="269" t="s">
        <v>1799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3578</v>
      </c>
      <c r="F1732" s="269" t="s">
        <v>3588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1531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1857</v>
      </c>
      <c r="E1734" s="292" t="s">
        <v>2192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1448</v>
      </c>
      <c r="E1735" s="292" t="s">
        <v>2414</v>
      </c>
      <c r="F1735" s="269" t="s">
        <v>2744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1654</v>
      </c>
      <c r="E1736" s="292" t="s">
        <v>1204</v>
      </c>
      <c r="F1736" s="269" t="s">
        <v>1559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3460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2186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2184</v>
      </c>
      <c r="F1739" s="269" t="s">
        <v>1255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2188</v>
      </c>
      <c r="F1740" s="269" t="s">
        <v>1818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2187</v>
      </c>
      <c r="F1741" s="269" t="s">
        <v>1791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3649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3651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1654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1537</v>
      </c>
      <c r="E1745" s="292" t="s">
        <v>1739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3654</v>
      </c>
      <c r="E1746" s="292" t="s">
        <v>3655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3653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1387</v>
      </c>
      <c r="E1748" s="292" t="s">
        <v>1855</v>
      </c>
      <c r="F1748" s="269" t="s">
        <v>3660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3578</v>
      </c>
      <c r="F1749" s="269" t="s">
        <v>3588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1395</v>
      </c>
      <c r="E1750" s="292" t="s">
        <v>2771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2738</v>
      </c>
      <c r="E1751" s="292" t="s">
        <v>1531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1445</v>
      </c>
      <c r="E1752" s="292" t="s">
        <v>1739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1857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1445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1433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1448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1387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2912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1801</v>
      </c>
      <c r="E1761" s="292" t="s">
        <v>2184</v>
      </c>
      <c r="F1761" s="269" t="s">
        <v>1255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1801</v>
      </c>
      <c r="E1762" s="292" t="s">
        <v>2188</v>
      </c>
      <c r="F1762" s="269" t="s">
        <v>1818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1801</v>
      </c>
      <c r="E1763" s="292" t="s">
        <v>2187</v>
      </c>
      <c r="F1763" s="269" t="s">
        <v>1791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2033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1395</v>
      </c>
      <c r="E1765" s="292" t="s">
        <v>2414</v>
      </c>
      <c r="F1765" s="269" t="s">
        <v>2744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1537</v>
      </c>
      <c r="E1766" s="292" t="s">
        <v>2087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1537</v>
      </c>
      <c r="E1767" s="292" t="s">
        <v>1545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3716</v>
      </c>
      <c r="E1768" s="292">
        <v>2703900</v>
      </c>
      <c r="F1768" s="269" t="s">
        <v>3717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3716</v>
      </c>
      <c r="E1769" s="292" t="s">
        <v>1742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3719</v>
      </c>
      <c r="E1770" s="292" t="s">
        <v>1531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3719</v>
      </c>
      <c r="E1771" s="292" t="s">
        <v>1742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1805</v>
      </c>
      <c r="E1772" s="292" t="s">
        <v>1742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2738</v>
      </c>
      <c r="E1773" s="292" t="s">
        <v>3724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1957</v>
      </c>
      <c r="E1774" s="292" t="s">
        <v>1912</v>
      </c>
      <c r="F1774" s="269" t="s">
        <v>2050</v>
      </c>
      <c r="G1774" s="265">
        <v>1000000</v>
      </c>
      <c r="H1774" s="269">
        <v>1</v>
      </c>
      <c r="K1774" s="265">
        <v>1000000</v>
      </c>
      <c r="M1774" s="292" t="s">
        <v>3725</v>
      </c>
    </row>
    <row r="1775" spans="1:13" x14ac:dyDescent="0.3">
      <c r="A1775" s="271">
        <v>1774</v>
      </c>
      <c r="B1775" s="264">
        <v>45929</v>
      </c>
      <c r="C1775" s="292" t="s">
        <v>2254</v>
      </c>
      <c r="E1775" s="292" t="s">
        <v>2174</v>
      </c>
      <c r="F1775" s="269" t="s">
        <v>1460</v>
      </c>
      <c r="G1775" s="265" t="s">
        <v>3729</v>
      </c>
      <c r="H1775" s="269">
        <v>1</v>
      </c>
      <c r="K1775" s="265">
        <v>0</v>
      </c>
      <c r="M1775" s="292" t="s">
        <v>3730</v>
      </c>
    </row>
    <row r="1776" spans="1:13" x14ac:dyDescent="0.3">
      <c r="A1776" s="271">
        <v>1775</v>
      </c>
      <c r="B1776" s="264">
        <v>45929</v>
      </c>
      <c r="C1776" s="292" t="s">
        <v>1801</v>
      </c>
      <c r="E1776" s="292" t="s">
        <v>3736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1463</v>
      </c>
      <c r="E1777" s="292" t="s">
        <v>3038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1463</v>
      </c>
      <c r="E1778" s="292" t="s">
        <v>2182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3738</v>
      </c>
    </row>
    <row r="1779" spans="1:13" x14ac:dyDescent="0.3">
      <c r="A1779" s="271">
        <v>1778</v>
      </c>
      <c r="B1779" s="264">
        <v>45929</v>
      </c>
      <c r="C1779" s="292" t="s">
        <v>1743</v>
      </c>
      <c r="E1779" s="292" t="s">
        <v>2186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1743</v>
      </c>
      <c r="E1780" s="292" t="s">
        <v>2186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1743</v>
      </c>
      <c r="E1781" s="292" t="s">
        <v>2187</v>
      </c>
      <c r="F1781" s="269" t="s">
        <v>1791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2854</v>
      </c>
      <c r="E1782" s="292" t="s">
        <v>3047</v>
      </c>
      <c r="F1782" s="269" t="s">
        <v>1948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1387</v>
      </c>
      <c r="E1783" s="292" t="s">
        <v>3047</v>
      </c>
      <c r="F1783" s="269" t="s">
        <v>1948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1957</v>
      </c>
      <c r="E1784" s="292" t="s">
        <v>1501</v>
      </c>
      <c r="G1784" s="265">
        <v>1000000</v>
      </c>
      <c r="H1784" s="269">
        <v>1</v>
      </c>
      <c r="K1784" s="265">
        <v>1000000</v>
      </c>
      <c r="M1784" s="292" t="s">
        <v>3743</v>
      </c>
    </row>
    <row r="1785" spans="1:13" x14ac:dyDescent="0.3">
      <c r="A1785" s="271">
        <v>1784</v>
      </c>
      <c r="B1785" s="264">
        <v>45929</v>
      </c>
      <c r="C1785" s="292" t="s">
        <v>3264</v>
      </c>
      <c r="E1785" s="292" t="s">
        <v>1557</v>
      </c>
      <c r="F1785" s="269" t="s">
        <v>1764</v>
      </c>
      <c r="G1785" s="265">
        <v>1000000</v>
      </c>
      <c r="H1785" s="269">
        <v>1</v>
      </c>
      <c r="K1785" s="265">
        <v>1000000</v>
      </c>
      <c r="M1785" s="292" t="s">
        <v>3745</v>
      </c>
    </row>
    <row r="1786" spans="1:13" x14ac:dyDescent="0.3">
      <c r="A1786" s="271">
        <v>1785</v>
      </c>
      <c r="B1786" s="264">
        <v>45929</v>
      </c>
      <c r="C1786" s="292" t="s">
        <v>3456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3747</v>
      </c>
    </row>
    <row r="1787" spans="1:13" x14ac:dyDescent="0.3">
      <c r="A1787" s="271">
        <v>1786</v>
      </c>
      <c r="B1787" s="264">
        <v>45929</v>
      </c>
      <c r="C1787" s="292" t="s">
        <v>1718</v>
      </c>
      <c r="E1787" s="292" t="s">
        <v>2836</v>
      </c>
      <c r="F1787" s="269" t="s">
        <v>2746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1395</v>
      </c>
      <c r="E1788" s="292" t="s">
        <v>1739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1537</v>
      </c>
      <c r="E1789" s="292" t="s">
        <v>1202</v>
      </c>
      <c r="F1789" s="269" t="s">
        <v>1748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1537</v>
      </c>
      <c r="E1790" s="292" t="s">
        <v>1492</v>
      </c>
      <c r="F1790" s="269" t="s">
        <v>2675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4238</v>
      </c>
      <c r="D1791" s="295" t="s">
        <v>4096</v>
      </c>
      <c r="E1791" s="292" t="s">
        <v>4239</v>
      </c>
      <c r="F1791" s="269" t="s">
        <v>4240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4238</v>
      </c>
      <c r="D1792" s="295" t="s">
        <v>4096</v>
      </c>
      <c r="E1792" s="292" t="s">
        <v>4241</v>
      </c>
      <c r="F1792" s="269" t="s">
        <v>4242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4238</v>
      </c>
      <c r="D1793" s="295" t="s">
        <v>4096</v>
      </c>
      <c r="E1793" s="292" t="s">
        <v>4243</v>
      </c>
      <c r="F1793" s="269" t="s">
        <v>4244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1537</v>
      </c>
      <c r="E1794" s="292" t="s">
        <v>2100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1537</v>
      </c>
      <c r="E1795" s="292" t="s">
        <v>1262</v>
      </c>
      <c r="F1795" s="269" t="s">
        <v>1261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1440</v>
      </c>
      <c r="E1796" s="292" t="s">
        <v>3754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1957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3264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3456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1387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2144</v>
      </c>
      <c r="E1803" s="292" t="s">
        <v>1713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1537</v>
      </c>
      <c r="E1804" s="292" t="s">
        <v>2039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2619</v>
      </c>
      <c r="E1805" s="292" t="s">
        <v>3765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1395</v>
      </c>
      <c r="E1806" s="292" t="s">
        <v>1262</v>
      </c>
      <c r="F1806" s="269" t="s">
        <v>1261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1463</v>
      </c>
      <c r="E1807" s="292" t="s">
        <v>1492</v>
      </c>
      <c r="F1807" s="269" t="s">
        <v>2675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1718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1743</v>
      </c>
      <c r="E1809" s="292" t="s">
        <v>2184</v>
      </c>
      <c r="F1809" s="269" t="s">
        <v>1255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3774</v>
      </c>
      <c r="E1810" s="292" t="s">
        <v>3775</v>
      </c>
      <c r="F1810" s="270">
        <v>2820403</v>
      </c>
      <c r="G1810" s="265">
        <v>1600000</v>
      </c>
      <c r="H1810" s="269">
        <v>1</v>
      </c>
      <c r="J1810" s="266" t="s">
        <v>2996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3774</v>
      </c>
      <c r="E1811" s="292" t="s">
        <v>3776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2144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2854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1573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1469</v>
      </c>
      <c r="E1815" s="292" t="s">
        <v>3772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1395</v>
      </c>
      <c r="E1816" s="292" t="s">
        <v>3773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1743</v>
      </c>
      <c r="E1817" s="292" t="s">
        <v>3777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1537</v>
      </c>
      <c r="E1818" s="292" t="s">
        <v>3778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3779</v>
      </c>
      <c r="E1819" s="292" t="s">
        <v>3780</v>
      </c>
      <c r="F1819" s="269" t="s">
        <v>3781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1843</v>
      </c>
      <c r="E1820" s="292" t="s">
        <v>3460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1843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1743</v>
      </c>
      <c r="E1822" s="292" t="s">
        <v>2188</v>
      </c>
      <c r="F1822" s="269" t="s">
        <v>1818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1886</v>
      </c>
      <c r="E1823" s="292" t="s">
        <v>1202</v>
      </c>
      <c r="F1823" s="269" t="s">
        <v>1748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1748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1886</v>
      </c>
      <c r="E1825" s="292" t="s">
        <v>3651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1866</v>
      </c>
      <c r="E1826" s="292" t="s">
        <v>3809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3811</v>
      </c>
      <c r="E1827" s="292" t="s">
        <v>3460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1718</v>
      </c>
      <c r="E1830" s="292" t="s">
        <v>2184</v>
      </c>
      <c r="F1830" s="269" t="s">
        <v>1255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1718</v>
      </c>
      <c r="E1831" s="292" t="s">
        <v>2187</v>
      </c>
      <c r="F1831" s="269" t="s">
        <v>1791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1786</v>
      </c>
      <c r="E1832" s="292" t="s">
        <v>1202</v>
      </c>
      <c r="F1832" s="269" t="s">
        <v>1748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1395</v>
      </c>
      <c r="E1833" s="292" t="s">
        <v>2103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1395</v>
      </c>
      <c r="E1834" s="292" t="s">
        <v>3820</v>
      </c>
      <c r="F1834" s="269" t="s">
        <v>3819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3814</v>
      </c>
      <c r="E1835" s="292" t="s">
        <v>2174</v>
      </c>
      <c r="F1835" s="269" t="s">
        <v>1460</v>
      </c>
      <c r="G1835" s="265">
        <v>1500000</v>
      </c>
      <c r="H1835" s="269">
        <v>1</v>
      </c>
      <c r="K1835" s="265">
        <v>1500000</v>
      </c>
      <c r="M1835" s="292" t="s">
        <v>3824</v>
      </c>
    </row>
    <row r="1836" spans="1:13" x14ac:dyDescent="0.3">
      <c r="A1836" s="271">
        <v>1835</v>
      </c>
      <c r="B1836" s="264">
        <v>45932</v>
      </c>
      <c r="C1836" s="292" t="s">
        <v>2141</v>
      </c>
      <c r="E1836" s="292" t="s">
        <v>2192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2141</v>
      </c>
      <c r="E1837" s="292" t="s">
        <v>3827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3814</v>
      </c>
      <c r="E1838" s="292" t="s">
        <v>3828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1718</v>
      </c>
      <c r="E1839" s="292" t="s">
        <v>3829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1475</v>
      </c>
      <c r="E1840" s="292" t="s">
        <v>3830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1866</v>
      </c>
      <c r="E1841" s="292" t="s">
        <v>3831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2141</v>
      </c>
      <c r="E1842" s="292" t="s">
        <v>1545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1927</v>
      </c>
      <c r="E1843" s="292" t="s">
        <v>3120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1927</v>
      </c>
      <c r="E1844" s="292" t="s">
        <v>2033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2619</v>
      </c>
      <c r="E1845" s="292" t="s">
        <v>3837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1576</v>
      </c>
      <c r="E1846" s="292" t="s">
        <v>2185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1440</v>
      </c>
      <c r="E1847" s="292" t="s">
        <v>1981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1302</v>
      </c>
      <c r="E1848" s="292" t="s">
        <v>2174</v>
      </c>
      <c r="F1848" s="269" t="s">
        <v>1460</v>
      </c>
      <c r="G1848" s="265">
        <v>0</v>
      </c>
      <c r="H1848" s="269">
        <v>1</v>
      </c>
      <c r="K1848" s="265">
        <v>0</v>
      </c>
      <c r="M1848" s="292" t="s">
        <v>3844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1743</v>
      </c>
      <c r="E1850" s="292" t="s">
        <v>2916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1743</v>
      </c>
      <c r="E1851" s="292" t="s">
        <v>2915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1743</v>
      </c>
      <c r="E1852" s="292" t="s">
        <v>3847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1573</v>
      </c>
      <c r="E1853" s="292" t="s">
        <v>2795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1573</v>
      </c>
      <c r="E1854" s="292" t="s">
        <v>1755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1573</v>
      </c>
      <c r="E1855" s="292" t="s">
        <v>3625</v>
      </c>
      <c r="F1855" s="269" t="s">
        <v>3624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4095</v>
      </c>
      <c r="D1856" s="295" t="s">
        <v>4096</v>
      </c>
      <c r="E1856" s="292" t="s">
        <v>4097</v>
      </c>
      <c r="F1856" s="269" t="s">
        <v>4098</v>
      </c>
      <c r="G1856" s="265">
        <v>250000</v>
      </c>
      <c r="H1856" s="269">
        <v>1</v>
      </c>
      <c r="K1856" s="265">
        <v>0</v>
      </c>
      <c r="M1856" s="304" t="s">
        <v>3852</v>
      </c>
    </row>
    <row r="1857" spans="1:12" x14ac:dyDescent="0.3">
      <c r="A1857" s="271">
        <v>1856</v>
      </c>
      <c r="B1857" s="264">
        <v>45940</v>
      </c>
      <c r="C1857" s="292" t="s">
        <v>1369</v>
      </c>
      <c r="E1857" s="292" t="s">
        <v>2176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1369</v>
      </c>
      <c r="E1858" s="292" t="s">
        <v>2177</v>
      </c>
      <c r="F1858" s="269" t="s">
        <v>1799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2023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3393</v>
      </c>
      <c r="E1860" s="292" t="s">
        <v>2176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3393</v>
      </c>
      <c r="E1861" s="292" t="s">
        <v>2177</v>
      </c>
      <c r="F1861" s="269" t="s">
        <v>1799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1739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2482</v>
      </c>
      <c r="E1863" s="292" t="s">
        <v>1713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3811</v>
      </c>
      <c r="E1864" s="292" t="s">
        <v>3460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1594</v>
      </c>
      <c r="E1865" s="292" t="s">
        <v>1202</v>
      </c>
      <c r="F1865" s="269" t="s">
        <v>1748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1528</v>
      </c>
      <c r="E1866" s="292" t="s">
        <v>1202</v>
      </c>
      <c r="F1866" s="269" t="s">
        <v>1748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1528</v>
      </c>
      <c r="E1867" s="292" t="s">
        <v>2836</v>
      </c>
      <c r="F1867" s="269" t="s">
        <v>2746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2141</v>
      </c>
      <c r="E1868" s="292" t="s">
        <v>3862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1594</v>
      </c>
      <c r="E1869" s="292" t="s">
        <v>3863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3811</v>
      </c>
      <c r="E1870" s="292" t="s">
        <v>3864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2482</v>
      </c>
      <c r="E1871" s="292" t="s">
        <v>3865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3393</v>
      </c>
      <c r="E1872" s="292" t="s">
        <v>3866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1786</v>
      </c>
      <c r="E1873" s="292" t="s">
        <v>1515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2994</v>
      </c>
      <c r="E1874" s="292" t="s">
        <v>1202</v>
      </c>
      <c r="F1874" s="269" t="s">
        <v>1748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1718</v>
      </c>
      <c r="E1875" s="292" t="s">
        <v>1740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1374</v>
      </c>
      <c r="E1876" s="292" t="s">
        <v>2176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3875</v>
      </c>
    </row>
    <row r="1877" spans="1:15" x14ac:dyDescent="0.3">
      <c r="A1877" s="271">
        <v>1876</v>
      </c>
      <c r="B1877" s="264">
        <v>45943</v>
      </c>
      <c r="C1877" s="292" t="s">
        <v>1528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1395</v>
      </c>
      <c r="E1878" s="292" t="s">
        <v>1739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1374</v>
      </c>
      <c r="E1879" s="292" t="s">
        <v>3873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3877</v>
      </c>
    </row>
    <row r="1880" spans="1:15" x14ac:dyDescent="0.3">
      <c r="A1880" s="271">
        <v>1879</v>
      </c>
      <c r="B1880" s="264">
        <v>45943</v>
      </c>
      <c r="C1880" s="292" t="s">
        <v>3879</v>
      </c>
      <c r="E1880" s="292" t="s">
        <v>3460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1576</v>
      </c>
      <c r="E1881" s="292" t="s">
        <v>2409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2614</v>
      </c>
      <c r="E1882" s="292" t="s">
        <v>3460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4228</v>
      </c>
    </row>
    <row r="1883" spans="1:15" x14ac:dyDescent="0.3">
      <c r="A1883" s="271">
        <v>1882</v>
      </c>
      <c r="B1883" s="264">
        <v>45943</v>
      </c>
      <c r="C1883" s="292" t="s">
        <v>2614</v>
      </c>
      <c r="E1883" s="292" t="s">
        <v>3336</v>
      </c>
      <c r="G1883" s="265">
        <v>-2</v>
      </c>
      <c r="H1883" s="269">
        <v>1</v>
      </c>
      <c r="K1883" s="265">
        <v>-2</v>
      </c>
      <c r="O1883" t="s">
        <v>4227</v>
      </c>
    </row>
    <row r="1884" spans="1:15" x14ac:dyDescent="0.3">
      <c r="A1884" s="271">
        <v>1883</v>
      </c>
      <c r="B1884" s="264">
        <v>45943</v>
      </c>
      <c r="C1884" s="292" t="s">
        <v>3885</v>
      </c>
      <c r="E1884" s="292" t="s">
        <v>2179</v>
      </c>
      <c r="F1884" s="269" t="s">
        <v>1716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3885</v>
      </c>
      <c r="E1885" s="292" t="s">
        <v>2177</v>
      </c>
      <c r="F1885" s="269" t="s">
        <v>1799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3264</v>
      </c>
      <c r="E1886" s="292" t="s">
        <v>1557</v>
      </c>
      <c r="F1886" s="269" t="s">
        <v>2693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2614</v>
      </c>
      <c r="E1887" s="292" t="s">
        <v>3889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3885</v>
      </c>
      <c r="E1888" s="292" t="s">
        <v>3891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3264</v>
      </c>
      <c r="E1891" s="292" t="s">
        <v>3895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3879</v>
      </c>
      <c r="E1892" s="292" t="s">
        <v>3897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1863</v>
      </c>
      <c r="E1893" s="292" t="s">
        <v>1739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4067</v>
      </c>
      <c r="E1894" s="292" t="s">
        <v>4068</v>
      </c>
      <c r="F1894" s="269" t="s">
        <v>4069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4067</v>
      </c>
      <c r="E1895" s="292" t="s">
        <v>4070</v>
      </c>
      <c r="F1895" s="269" t="s">
        <v>4071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1463</v>
      </c>
      <c r="E1896" s="292" t="s">
        <v>1796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1395</v>
      </c>
      <c r="E1897" s="292" t="s">
        <v>1545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1395</v>
      </c>
      <c r="E1898" s="292" t="s">
        <v>2087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1395</v>
      </c>
      <c r="E1899" s="292" t="s">
        <v>3902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1395</v>
      </c>
      <c r="E1900" s="292" t="s">
        <v>3042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3904</v>
      </c>
      <c r="E1901" s="292" t="s">
        <v>1202</v>
      </c>
      <c r="F1901" s="269" t="s">
        <v>1748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1582</v>
      </c>
      <c r="E1902" s="292" t="s">
        <v>2909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1801</v>
      </c>
      <c r="E1903" s="292" t="s">
        <v>3217</v>
      </c>
      <c r="F1903" s="269" t="s">
        <v>3517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1724</v>
      </c>
      <c r="F1904" s="269" t="s">
        <v>1723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1576</v>
      </c>
      <c r="E1905" s="292" t="s">
        <v>3460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1576</v>
      </c>
      <c r="E1906" s="292" t="s">
        <v>2184</v>
      </c>
      <c r="F1906" s="269" t="s">
        <v>1255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3111</v>
      </c>
      <c r="E1907" s="292" t="s">
        <v>2193</v>
      </c>
      <c r="F1907" s="269" t="s">
        <v>1197</v>
      </c>
      <c r="H1907" s="269">
        <v>1</v>
      </c>
      <c r="K1907" s="265">
        <v>0</v>
      </c>
      <c r="M1907" s="292" t="s">
        <v>3912</v>
      </c>
    </row>
    <row r="1908" spans="1:15" x14ac:dyDescent="0.3">
      <c r="A1908" s="271">
        <v>1907</v>
      </c>
      <c r="B1908" s="264">
        <v>45944</v>
      </c>
      <c r="C1908" s="292" t="s">
        <v>2994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1395</v>
      </c>
      <c r="E1909" s="292" t="s">
        <v>3915</v>
      </c>
      <c r="F1909" s="269" t="s">
        <v>3914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1927</v>
      </c>
      <c r="E1910" s="292" t="s">
        <v>2198</v>
      </c>
      <c r="F1910" s="269" t="s">
        <v>1952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1927</v>
      </c>
      <c r="E1911" s="292" t="s">
        <v>2177</v>
      </c>
      <c r="F1911" s="269" t="s">
        <v>1799</v>
      </c>
      <c r="G1911" s="265">
        <v>50000</v>
      </c>
      <c r="H1911" s="269">
        <v>1</v>
      </c>
      <c r="K1911" s="265">
        <v>50000</v>
      </c>
      <c r="M1911" s="292" t="s">
        <v>3918</v>
      </c>
    </row>
    <row r="1912" spans="1:15" x14ac:dyDescent="0.3">
      <c r="A1912" s="58">
        <v>1912</v>
      </c>
      <c r="B1912" s="264">
        <v>45945</v>
      </c>
      <c r="C1912" s="292" t="s">
        <v>1463</v>
      </c>
      <c r="E1912" s="292" t="s">
        <v>2198</v>
      </c>
      <c r="F1912" s="269" t="s">
        <v>1952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4227</v>
      </c>
    </row>
    <row r="1913" spans="1:15" x14ac:dyDescent="0.3">
      <c r="A1913" s="58">
        <v>1913</v>
      </c>
      <c r="B1913" s="264">
        <v>45945</v>
      </c>
      <c r="C1913" s="292" t="s">
        <v>1463</v>
      </c>
      <c r="E1913" s="292" t="s">
        <v>2177</v>
      </c>
      <c r="F1913" s="269" t="s">
        <v>1799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4227</v>
      </c>
    </row>
    <row r="1914" spans="1:15" x14ac:dyDescent="0.3">
      <c r="A1914" s="58">
        <v>1914</v>
      </c>
      <c r="B1914" s="264">
        <v>45945</v>
      </c>
      <c r="C1914" s="292" t="s">
        <v>1463</v>
      </c>
      <c r="E1914" s="292" t="s">
        <v>2676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4227</v>
      </c>
    </row>
    <row r="1915" spans="1:15" x14ac:dyDescent="0.3">
      <c r="A1915" s="58">
        <v>1915</v>
      </c>
      <c r="B1915" s="264">
        <v>45945</v>
      </c>
      <c r="C1915" s="292" t="s">
        <v>4017</v>
      </c>
      <c r="E1915" s="292" t="s">
        <v>4018</v>
      </c>
      <c r="G1915" s="265">
        <v>1100000</v>
      </c>
      <c r="H1915" s="269">
        <v>1</v>
      </c>
      <c r="J1915" s="266" t="s">
        <v>3515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4017</v>
      </c>
      <c r="E1916" s="292" t="s">
        <v>4019</v>
      </c>
      <c r="F1916" s="269" t="s">
        <v>4020</v>
      </c>
      <c r="G1916" s="265">
        <v>1000000</v>
      </c>
      <c r="H1916" s="269">
        <v>1</v>
      </c>
      <c r="J1916" s="266" t="s">
        <v>4021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3921</v>
      </c>
      <c r="E1917" s="292" t="s">
        <v>1739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1786</v>
      </c>
      <c r="E1918" s="292" t="s">
        <v>1739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1786</v>
      </c>
      <c r="E1919" s="292" t="s">
        <v>1515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1739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1490</v>
      </c>
      <c r="E1921" s="292" t="s">
        <v>1492</v>
      </c>
      <c r="F1921" s="269" t="s">
        <v>2675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1445</v>
      </c>
      <c r="E1922" s="292" t="s">
        <v>3460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1445</v>
      </c>
      <c r="E1923" s="292" t="s">
        <v>3929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1445</v>
      </c>
      <c r="E1924" s="292" t="s">
        <v>2186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1445</v>
      </c>
      <c r="E1925" s="292" t="s">
        <v>2188</v>
      </c>
      <c r="F1925" s="269" t="s">
        <v>1818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1445</v>
      </c>
      <c r="E1926" s="292" t="s">
        <v>2187</v>
      </c>
      <c r="F1926" s="269" t="s">
        <v>1791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1863</v>
      </c>
      <c r="E1927" s="292" t="s">
        <v>3932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1927</v>
      </c>
      <c r="E1928" s="292" t="s">
        <v>3933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3921</v>
      </c>
      <c r="E1929" s="292" t="s">
        <v>3934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1469</v>
      </c>
      <c r="E1930" s="292" t="s">
        <v>3460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1481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1594</v>
      </c>
      <c r="E1932" s="292" t="s">
        <v>1202</v>
      </c>
      <c r="F1932" s="269" t="s">
        <v>1748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3935</v>
      </c>
      <c r="E1933" s="292" t="s">
        <v>2192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3811</v>
      </c>
      <c r="E1934" s="292" t="s">
        <v>1739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1786</v>
      </c>
      <c r="E1935" s="292" t="s">
        <v>3947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1481</v>
      </c>
      <c r="E1936" s="292" t="s">
        <v>3949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1594</v>
      </c>
      <c r="E1937" s="292" t="s">
        <v>3863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3811</v>
      </c>
      <c r="E1938" s="292" t="s">
        <v>3950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3935</v>
      </c>
      <c r="E1939" s="292" t="s">
        <v>3951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1927</v>
      </c>
      <c r="E1940" s="292" t="s">
        <v>3933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1465</v>
      </c>
      <c r="E1941" s="292" t="s">
        <v>1202</v>
      </c>
      <c r="F1941" s="269" t="s">
        <v>1748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1465</v>
      </c>
      <c r="E1942" s="292" t="s">
        <v>3952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2190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2188</v>
      </c>
      <c r="F1944" s="269" t="s">
        <v>1818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1713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1576</v>
      </c>
      <c r="E1947" s="292" t="s">
        <v>3956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1786</v>
      </c>
      <c r="E1948" s="292" t="s">
        <v>1825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1973</v>
      </c>
      <c r="E1949" s="292" t="s">
        <v>1202</v>
      </c>
      <c r="F1949" s="269" t="s">
        <v>1748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1973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1866</v>
      </c>
      <c r="E1951" s="292" t="s">
        <v>1912</v>
      </c>
      <c r="F1951" s="269" t="s">
        <v>2050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3960</v>
      </c>
      <c r="E1952" s="292" t="s">
        <v>1851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3960</v>
      </c>
      <c r="E1953" s="292" t="s">
        <v>1713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4022</v>
      </c>
      <c r="E1954" s="292" t="s">
        <v>4023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1576</v>
      </c>
      <c r="E1955" s="292" t="s">
        <v>3965</v>
      </c>
      <c r="F1955" s="269" t="s">
        <v>2744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1866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2406</v>
      </c>
      <c r="E1959" s="292" t="s">
        <v>2193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3969</v>
      </c>
      <c r="E1960" s="292" t="s">
        <v>3968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1395</v>
      </c>
      <c r="E1961" s="292" t="s">
        <v>1739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1395</v>
      </c>
      <c r="E1962" s="292" t="s">
        <v>1262</v>
      </c>
      <c r="F1962" s="269" t="s">
        <v>1261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1576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1490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1445</v>
      </c>
      <c r="E1965" s="292" t="s">
        <v>3972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1469</v>
      </c>
      <c r="E1966" s="292" t="s">
        <v>1855</v>
      </c>
      <c r="F1966" s="269" t="s">
        <v>3660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3393</v>
      </c>
      <c r="E1967" s="292" t="s">
        <v>1855</v>
      </c>
      <c r="F1967" s="269" t="s">
        <v>3660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2023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3976</v>
      </c>
    </row>
    <row r="1969" spans="1:12" x14ac:dyDescent="0.3">
      <c r="A1969" s="58">
        <v>1969</v>
      </c>
      <c r="B1969" s="264">
        <v>45951</v>
      </c>
      <c r="C1969" s="292" t="s">
        <v>3197</v>
      </c>
      <c r="E1969" s="292" t="s">
        <v>1577</v>
      </c>
      <c r="F1969" s="269" t="s">
        <v>1919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1743</v>
      </c>
      <c r="E1970" s="292" t="s">
        <v>3979</v>
      </c>
      <c r="F1970" s="269" t="s">
        <v>3978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1445</v>
      </c>
      <c r="E1971" s="292" t="s">
        <v>1202</v>
      </c>
      <c r="F1971" s="269" t="s">
        <v>1748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3921</v>
      </c>
      <c r="E1972" s="292" t="s">
        <v>1202</v>
      </c>
      <c r="F1972" s="269" t="s">
        <v>1748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3921</v>
      </c>
      <c r="E1973" s="292" t="s">
        <v>1492</v>
      </c>
      <c r="F1973" s="269" t="s">
        <v>2675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3921</v>
      </c>
      <c r="E1974" s="292" t="s">
        <v>3984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1395</v>
      </c>
      <c r="E1975" s="292" t="s">
        <v>1739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4111</v>
      </c>
      <c r="E1976" s="292" t="s">
        <v>4112</v>
      </c>
      <c r="F1976" s="269" t="s">
        <v>4113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1445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3989</v>
      </c>
      <c r="E1979" s="292" t="s">
        <v>1739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3991</v>
      </c>
      <c r="E1980" s="292" t="s">
        <v>2023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1537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2554</v>
      </c>
      <c r="E1982" s="292" t="s">
        <v>2174</v>
      </c>
      <c r="F1982" s="269" t="s">
        <v>1460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3147</v>
      </c>
      <c r="E1983" s="292" t="s">
        <v>1202</v>
      </c>
      <c r="F1983" s="269" t="s">
        <v>1748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1718</v>
      </c>
      <c r="E1984" s="292" t="s">
        <v>2174</v>
      </c>
      <c r="F1984" s="269" t="s">
        <v>1460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1718</v>
      </c>
      <c r="E1985" s="292" t="s">
        <v>2915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2190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2188</v>
      </c>
      <c r="F1987" s="269" t="s">
        <v>1818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2187</v>
      </c>
      <c r="F1989" s="269" t="s">
        <v>1791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2186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1463</v>
      </c>
      <c r="E1991" s="292" t="s">
        <v>4005</v>
      </c>
      <c r="F1991" s="269" t="s">
        <v>4004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4227</v>
      </c>
    </row>
    <row r="1992" spans="1:15" x14ac:dyDescent="0.3">
      <c r="A1992" s="58">
        <v>1992</v>
      </c>
      <c r="B1992" s="264">
        <v>45952</v>
      </c>
      <c r="C1992" s="292" t="s">
        <v>2406</v>
      </c>
      <c r="E1992" s="292" t="s">
        <v>2193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1573</v>
      </c>
      <c r="E1993" s="292" t="s">
        <v>3038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1866</v>
      </c>
      <c r="E1994" s="292" t="s">
        <v>2184</v>
      </c>
      <c r="F1994" s="269" t="s">
        <v>1255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1395</v>
      </c>
      <c r="E1995" s="292" t="s">
        <v>3120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1594</v>
      </c>
      <c r="E1996" s="292" t="s">
        <v>1734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1440</v>
      </c>
      <c r="E1997" s="292" t="s">
        <v>1969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1440</v>
      </c>
      <c r="E1998" s="292" t="s">
        <v>1969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1440</v>
      </c>
      <c r="E1999" s="292" t="s">
        <v>2154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1440</v>
      </c>
      <c r="E2000" s="292" t="s">
        <v>1981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2133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4013</v>
      </c>
    </row>
    <row r="2002" spans="1:13" x14ac:dyDescent="0.3">
      <c r="A2002" s="58">
        <v>2002</v>
      </c>
      <c r="B2002" s="264">
        <v>45953</v>
      </c>
      <c r="C2002" s="292" t="s">
        <v>1573</v>
      </c>
      <c r="E2002" s="292" t="s">
        <v>1202</v>
      </c>
      <c r="F2002" s="269" t="s">
        <v>1748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1573</v>
      </c>
      <c r="E2003" s="292" t="s">
        <v>1515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2109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3197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2606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3989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2406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3147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2554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3393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3991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1395</v>
      </c>
      <c r="E2014" s="292" t="s">
        <v>1202</v>
      </c>
      <c r="F2014" s="269" t="s">
        <v>1748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1395</v>
      </c>
      <c r="E2015" s="292" t="s">
        <v>2836</v>
      </c>
      <c r="F2015" s="269" t="s">
        <v>2746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1927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1594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2700</v>
      </c>
      <c r="E2019" s="292" t="s">
        <v>2197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1490</v>
      </c>
      <c r="E2020" s="292" t="s">
        <v>3460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2700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1866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1395</v>
      </c>
      <c r="E2023" s="292" t="s">
        <v>2176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1395</v>
      </c>
      <c r="E2024" s="292" t="s">
        <v>2177</v>
      </c>
      <c r="F2024" s="269" t="s">
        <v>1799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1395</v>
      </c>
      <c r="E2025" s="292" t="s">
        <v>1739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4154</v>
      </c>
      <c r="D2026" s="295" t="s">
        <v>4096</v>
      </c>
      <c r="E2026" s="292" t="s">
        <v>4155</v>
      </c>
      <c r="F2026" s="269" t="s">
        <v>4156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4133</v>
      </c>
      <c r="D2027" s="295" t="s">
        <v>4096</v>
      </c>
      <c r="E2027" s="292" t="s">
        <v>4136</v>
      </c>
      <c r="F2027" s="269" t="s">
        <v>4137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2779</v>
      </c>
      <c r="E2028" s="292" t="s">
        <v>2176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2779</v>
      </c>
      <c r="E2029" s="292" t="s">
        <v>2177</v>
      </c>
      <c r="F2029" s="269" t="s">
        <v>1799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4077</v>
      </c>
      <c r="E2030" s="292" t="s">
        <v>4078</v>
      </c>
      <c r="F2030" s="269" t="s">
        <v>4079</v>
      </c>
      <c r="G2030" s="265">
        <v>1300000</v>
      </c>
      <c r="H2030" s="269">
        <v>1</v>
      </c>
      <c r="J2030" s="266" t="s">
        <v>3139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1582</v>
      </c>
      <c r="E2031" s="292" t="s">
        <v>1740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1537</v>
      </c>
      <c r="E2032" s="292" t="s">
        <v>4044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1465</v>
      </c>
      <c r="E2034" s="292" t="s">
        <v>4047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1369</v>
      </c>
      <c r="E2035" s="292" t="s">
        <v>4066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1573</v>
      </c>
      <c r="E2036" s="292" t="s">
        <v>4059</v>
      </c>
      <c r="F2036" s="269" t="s">
        <v>2880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4055</v>
      </c>
      <c r="E2037" s="292" t="s">
        <v>3038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1743</v>
      </c>
      <c r="E2038" s="292" t="s">
        <v>3954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1743</v>
      </c>
      <c r="E2039" s="292" t="s">
        <v>2187</v>
      </c>
      <c r="F2039" s="269" t="s">
        <v>1791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1743</v>
      </c>
      <c r="E2040" s="292" t="s">
        <v>2186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4051</v>
      </c>
      <c r="E2041" s="292" t="s">
        <v>2190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4051</v>
      </c>
      <c r="E2042" s="292" t="s">
        <v>3460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4051</v>
      </c>
      <c r="E2043" s="292" t="s">
        <v>2186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4051</v>
      </c>
      <c r="E2044" s="292" t="s">
        <v>2187</v>
      </c>
      <c r="F2044" s="269" t="s">
        <v>1791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4051</v>
      </c>
      <c r="E2045" s="292" t="s">
        <v>2188</v>
      </c>
      <c r="F2045" s="269" t="s">
        <v>1818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1395</v>
      </c>
      <c r="E2046" s="292" t="s">
        <v>1739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1576</v>
      </c>
      <c r="E2047" s="292" t="s">
        <v>1701</v>
      </c>
      <c r="F2047" s="269" t="s">
        <v>1700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1550</v>
      </c>
      <c r="E2048" s="292" t="s">
        <v>4072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4055</v>
      </c>
      <c r="E2049" s="292" t="s">
        <v>4073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4051</v>
      </c>
      <c r="E2050" s="292" t="s">
        <v>4074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1395</v>
      </c>
      <c r="E2051" s="292" t="s">
        <v>2295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1927</v>
      </c>
      <c r="E2052" s="292" t="s">
        <v>3460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1927</v>
      </c>
      <c r="E2053" s="292" t="s">
        <v>2186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1927</v>
      </c>
      <c r="E2054" s="292" t="s">
        <v>2187</v>
      </c>
      <c r="F2054" s="269" t="s">
        <v>1791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2779</v>
      </c>
      <c r="E2055" s="292" t="s">
        <v>4094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1433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1890</v>
      </c>
      <c r="E2057" s="292" t="s">
        <v>1202</v>
      </c>
      <c r="F2057" s="269" t="s">
        <v>1748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1557</v>
      </c>
      <c r="F2058" s="269" t="s">
        <v>2693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1743</v>
      </c>
      <c r="E2060" s="292" t="s">
        <v>3954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1743</v>
      </c>
      <c r="E2061" s="292" t="s">
        <v>2184</v>
      </c>
      <c r="F2061" s="269" t="s">
        <v>1255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1743</v>
      </c>
      <c r="E2062" s="292" t="s">
        <v>2186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1395</v>
      </c>
      <c r="E2063" s="292" t="s">
        <v>3954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1395</v>
      </c>
      <c r="E2064" s="292" t="s">
        <v>2187</v>
      </c>
      <c r="F2064" s="269" t="s">
        <v>1791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1395</v>
      </c>
      <c r="E2065" s="292" t="s">
        <v>2188</v>
      </c>
      <c r="F2065" s="269" t="s">
        <v>1818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4080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1667</v>
      </c>
      <c r="E2067" s="292" t="s">
        <v>2198</v>
      </c>
      <c r="F2067" s="269" t="s">
        <v>1952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4227</v>
      </c>
    </row>
    <row r="2068" spans="1:15" x14ac:dyDescent="0.3">
      <c r="A2068" s="58">
        <v>2068</v>
      </c>
      <c r="B2068" s="264">
        <v>45958</v>
      </c>
      <c r="C2068" s="292" t="s">
        <v>1667</v>
      </c>
      <c r="E2068" s="292" t="s">
        <v>2177</v>
      </c>
      <c r="F2068" s="269" t="s">
        <v>1799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4227</v>
      </c>
    </row>
    <row r="2069" spans="1:15" x14ac:dyDescent="0.3">
      <c r="A2069" s="58">
        <v>2069</v>
      </c>
      <c r="B2069" s="264">
        <v>45958</v>
      </c>
      <c r="C2069" s="292" t="s">
        <v>1667</v>
      </c>
      <c r="E2069" s="292" t="s">
        <v>3649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1582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1440</v>
      </c>
      <c r="E2071" s="292" t="s">
        <v>2052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4080</v>
      </c>
      <c r="E2072" s="292" t="s">
        <v>4093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1395</v>
      </c>
      <c r="E2073" s="292" t="s">
        <v>2184</v>
      </c>
      <c r="F2073" s="269" t="s">
        <v>1255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3145</v>
      </c>
      <c r="E2074" s="292" t="s">
        <v>3212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3145</v>
      </c>
      <c r="E2075" s="292" t="s">
        <v>2108</v>
      </c>
      <c r="F2075" s="269" t="s">
        <v>2578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3145</v>
      </c>
      <c r="E2076" s="292" t="s">
        <v>2795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3145</v>
      </c>
      <c r="E2077" s="292" t="s">
        <v>3625</v>
      </c>
      <c r="F2077" s="269" t="s">
        <v>3624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4099</v>
      </c>
      <c r="E2078" s="292" t="s">
        <v>2915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1808</v>
      </c>
      <c r="E2079" s="292" t="s">
        <v>1202</v>
      </c>
      <c r="F2079" s="269" t="s">
        <v>1748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1808</v>
      </c>
      <c r="E2080" s="292" t="s">
        <v>1492</v>
      </c>
      <c r="F2080" s="269" t="s">
        <v>2675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1808</v>
      </c>
      <c r="E2081" s="292" t="s">
        <v>1515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4133</v>
      </c>
      <c r="E2082" s="292" t="s">
        <v>4134</v>
      </c>
      <c r="F2082" s="269" t="s">
        <v>4135</v>
      </c>
      <c r="G2082" s="265">
        <v>1100000</v>
      </c>
      <c r="H2082" s="269">
        <v>1</v>
      </c>
      <c r="J2082" s="266" t="s">
        <v>3515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1743</v>
      </c>
      <c r="E2083" s="292" t="s">
        <v>2182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1445</v>
      </c>
      <c r="E2084" s="292" t="s">
        <v>3460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1445</v>
      </c>
      <c r="E2085" s="292" t="s">
        <v>2186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1445</v>
      </c>
      <c r="E2086" s="292" t="s">
        <v>2187</v>
      </c>
      <c r="F2086" s="269" t="s">
        <v>1791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4099</v>
      </c>
      <c r="E2087" s="292" t="s">
        <v>4110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1863</v>
      </c>
      <c r="E2088" s="292" t="s">
        <v>3932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1469</v>
      </c>
      <c r="E2089" s="292" t="s">
        <v>4114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4166</v>
      </c>
      <c r="D2090" s="295" t="s">
        <v>4096</v>
      </c>
      <c r="E2090" s="292" t="s">
        <v>4155</v>
      </c>
      <c r="F2090" s="269" t="s">
        <v>4156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1576</v>
      </c>
      <c r="E2091" s="292" t="s">
        <v>2177</v>
      </c>
      <c r="F2091" s="269" t="s">
        <v>1799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1469</v>
      </c>
      <c r="E2092" s="292" t="s">
        <v>2198</v>
      </c>
      <c r="F2092" s="269" t="s">
        <v>1952</v>
      </c>
      <c r="G2092" s="265">
        <v>1900000</v>
      </c>
      <c r="H2092" s="269">
        <v>1</v>
      </c>
      <c r="K2092" s="265">
        <v>1900000</v>
      </c>
      <c r="M2092" s="292" t="s">
        <v>4119</v>
      </c>
    </row>
    <row r="2093" spans="1:13" x14ac:dyDescent="0.3">
      <c r="A2093" s="58">
        <v>2093</v>
      </c>
      <c r="B2093" s="264">
        <v>45960</v>
      </c>
      <c r="C2093" s="292" t="s">
        <v>1469</v>
      </c>
      <c r="E2093" s="292" t="s">
        <v>3649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1469</v>
      </c>
      <c r="E2094" s="292" t="s">
        <v>2414</v>
      </c>
      <c r="F2094" s="269" t="s">
        <v>2744</v>
      </c>
      <c r="G2094" s="265">
        <v>1100000</v>
      </c>
      <c r="H2094" s="269">
        <v>1</v>
      </c>
      <c r="K2094" s="265">
        <v>1100000</v>
      </c>
      <c r="M2094" s="292" t="s">
        <v>4120</v>
      </c>
    </row>
    <row r="2095" spans="1:13" x14ac:dyDescent="0.3">
      <c r="A2095" s="58">
        <v>2095</v>
      </c>
      <c r="B2095" s="264">
        <v>45960</v>
      </c>
      <c r="C2095" s="292" t="s">
        <v>2960</v>
      </c>
      <c r="E2095" s="292" t="s">
        <v>2915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3197</v>
      </c>
      <c r="E2096" s="292" t="s">
        <v>2087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1743</v>
      </c>
      <c r="E2097" s="292" t="s">
        <v>2182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1743</v>
      </c>
      <c r="E2098" s="292" t="s">
        <v>1515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1573</v>
      </c>
      <c r="E2099" s="292" t="s">
        <v>4124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1573</v>
      </c>
      <c r="E2100" s="292" t="s">
        <v>1515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1973</v>
      </c>
      <c r="E2101" s="292" t="s">
        <v>3217</v>
      </c>
      <c r="F2101" s="269" t="s">
        <v>3517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4055</v>
      </c>
      <c r="E2102" s="292" t="s">
        <v>3217</v>
      </c>
      <c r="F2102" s="269" t="s">
        <v>3517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4055</v>
      </c>
      <c r="E2103" s="292" t="s">
        <v>1515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1302</v>
      </c>
      <c r="E2104" s="292" t="s">
        <v>3047</v>
      </c>
      <c r="F2104" s="269" t="s">
        <v>1948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2700</v>
      </c>
      <c r="E2105" s="292" t="s">
        <v>4116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4227</v>
      </c>
    </row>
    <row r="2106" spans="1:15" x14ac:dyDescent="0.3">
      <c r="A2106" s="58">
        <v>2106</v>
      </c>
      <c r="B2106" s="264">
        <v>45960</v>
      </c>
      <c r="C2106" s="292" t="s">
        <v>1667</v>
      </c>
      <c r="E2106" s="292" t="s">
        <v>1202</v>
      </c>
      <c r="F2106" s="269" t="s">
        <v>1748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4227</v>
      </c>
    </row>
    <row r="2107" spans="1:15" x14ac:dyDescent="0.3">
      <c r="A2107" s="58">
        <v>2107</v>
      </c>
      <c r="B2107" s="264">
        <v>45960</v>
      </c>
      <c r="C2107" s="292" t="s">
        <v>1667</v>
      </c>
      <c r="E2107" s="292" t="s">
        <v>1492</v>
      </c>
      <c r="F2107" s="269" t="s">
        <v>2675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4227</v>
      </c>
    </row>
    <row r="2108" spans="1:15" x14ac:dyDescent="0.3">
      <c r="A2108" s="58">
        <v>2108</v>
      </c>
      <c r="B2108" s="264">
        <v>45960</v>
      </c>
      <c r="C2108" s="292" t="s">
        <v>1743</v>
      </c>
      <c r="E2108" s="292" t="s">
        <v>2186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1743</v>
      </c>
      <c r="E2109" s="292" t="s">
        <v>2184</v>
      </c>
      <c r="F2109" s="269" t="s">
        <v>1255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1743</v>
      </c>
      <c r="E2110" s="292" t="s">
        <v>2187</v>
      </c>
      <c r="F2110" s="269" t="s">
        <v>1791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1786</v>
      </c>
      <c r="E2111" s="292" t="s">
        <v>4132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4034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3145</v>
      </c>
      <c r="E2113" s="292" t="s">
        <v>4138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1973</v>
      </c>
      <c r="E2114" s="292" t="s">
        <v>4142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1490</v>
      </c>
      <c r="E2115" s="292" t="s">
        <v>4139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1801</v>
      </c>
      <c r="E2116" s="292" t="s">
        <v>3736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1808</v>
      </c>
      <c r="E2117" s="292" t="s">
        <v>4149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2700</v>
      </c>
      <c r="E2118" s="292" t="s">
        <v>4143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2960</v>
      </c>
      <c r="E2119" s="292" t="s">
        <v>4145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4055</v>
      </c>
      <c r="E2120" s="292" t="s">
        <v>4147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4202</v>
      </c>
      <c r="D2121" s="295" t="s">
        <v>4096</v>
      </c>
      <c r="E2121" s="292" t="s">
        <v>4203</v>
      </c>
      <c r="F2121" s="269" t="s">
        <v>4204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4158</v>
      </c>
      <c r="E2122" s="292" t="s">
        <v>2380</v>
      </c>
      <c r="F2122" s="269" t="s">
        <v>2872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2254</v>
      </c>
      <c r="E2123" s="292" t="s">
        <v>2174</v>
      </c>
      <c r="F2123" s="269" t="s">
        <v>1460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1718</v>
      </c>
      <c r="E2124" s="292" t="s">
        <v>4116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1743</v>
      </c>
      <c r="E2125" s="292" t="s">
        <v>2295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1537</v>
      </c>
      <c r="E2126" s="292" t="s">
        <v>2087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1537</v>
      </c>
      <c r="E2127" s="292" t="s">
        <v>1545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4206</v>
      </c>
      <c r="D2128" s="295" t="s">
        <v>4096</v>
      </c>
      <c r="E2128" s="292" t="s">
        <v>4207</v>
      </c>
      <c r="F2128" s="269" t="s">
        <v>4208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1302</v>
      </c>
      <c r="E2129" s="292" t="s">
        <v>4169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1817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1445</v>
      </c>
      <c r="E2131" s="292" t="s">
        <v>4170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1927</v>
      </c>
      <c r="E2132" s="292" t="s">
        <v>3933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2254</v>
      </c>
      <c r="E2133" s="292" t="s">
        <v>4171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4158</v>
      </c>
      <c r="E2134" s="292" t="s">
        <v>4172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4173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1537</v>
      </c>
      <c r="E2136" s="292" t="s">
        <v>3778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1395</v>
      </c>
      <c r="E2137" s="292" t="s">
        <v>3773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1573</v>
      </c>
      <c r="E2138" s="292" t="s">
        <v>4174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1718</v>
      </c>
      <c r="E2139" s="292" t="s">
        <v>1202</v>
      </c>
      <c r="F2139" s="269" t="s">
        <v>1748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1801</v>
      </c>
      <c r="E2140" s="292" t="s">
        <v>4027</v>
      </c>
      <c r="F2140" s="269" t="s">
        <v>2213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1801</v>
      </c>
      <c r="E2141" s="292" t="s">
        <v>2177</v>
      </c>
      <c r="F2141" s="269" t="s">
        <v>1799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3902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2087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1545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2192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1440</v>
      </c>
      <c r="E2146" s="292" t="s">
        <v>1557</v>
      </c>
      <c r="F2146" s="269" t="s">
        <v>2693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1391</v>
      </c>
      <c r="E2147" s="292" t="s">
        <v>1204</v>
      </c>
      <c r="F2147" s="269" t="s">
        <v>1988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1395</v>
      </c>
      <c r="E2148" s="292" t="s">
        <v>2033</v>
      </c>
      <c r="F2148" s="269" t="s">
        <v>3660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1440</v>
      </c>
      <c r="E2149" s="292" t="s">
        <v>4185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1391</v>
      </c>
      <c r="E2150" s="292" t="s">
        <v>4186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3197</v>
      </c>
      <c r="E2151" s="292" t="s">
        <v>4187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4188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2254</v>
      </c>
      <c r="D2153" s="295" t="s">
        <v>4191</v>
      </c>
      <c r="E2153" s="292" t="s">
        <v>4189</v>
      </c>
      <c r="F2153" s="269" t="s">
        <v>1460</v>
      </c>
      <c r="G2153" s="265">
        <v>0</v>
      </c>
      <c r="H2153" s="269">
        <v>1</v>
      </c>
      <c r="K2153" s="265">
        <v>0</v>
      </c>
      <c r="M2153" s="304" t="s">
        <v>4192</v>
      </c>
    </row>
    <row r="2154" spans="1:13" x14ac:dyDescent="0.3">
      <c r="A2154" s="58">
        <v>2154</v>
      </c>
      <c r="B2154" s="264">
        <v>45965</v>
      </c>
      <c r="C2154" s="292" t="s">
        <v>2463</v>
      </c>
      <c r="E2154" s="292" t="s">
        <v>1713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1440</v>
      </c>
      <c r="E2155" s="292" t="s">
        <v>2182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1440</v>
      </c>
      <c r="E2156" s="292" t="s">
        <v>2836</v>
      </c>
      <c r="F2156" s="269" t="s">
        <v>2746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3969</v>
      </c>
      <c r="E2157" s="292" t="s">
        <v>2314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3969</v>
      </c>
      <c r="E2158" s="292" t="s">
        <v>1501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1537</v>
      </c>
      <c r="E2159" s="292" t="s">
        <v>1739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2463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4271</v>
      </c>
      <c r="E2161" s="292" t="s">
        <v>4272</v>
      </c>
      <c r="F2161" s="270">
        <v>6058008060</v>
      </c>
      <c r="G2161" s="265">
        <v>1600000</v>
      </c>
      <c r="H2161" s="269">
        <v>1</v>
      </c>
      <c r="J2161" s="266" t="s">
        <v>2996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4199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3969</v>
      </c>
      <c r="E2163" s="292" t="s">
        <v>4201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1374</v>
      </c>
      <c r="E2164" s="292" t="s">
        <v>4205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4329</v>
      </c>
      <c r="E2165" s="292" t="s">
        <v>4330</v>
      </c>
      <c r="F2165" s="269" t="s">
        <v>4331</v>
      </c>
      <c r="G2165" s="265">
        <v>1500000</v>
      </c>
      <c r="H2165" s="269">
        <v>1</v>
      </c>
      <c r="J2165" s="266" t="s">
        <v>2903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1576</v>
      </c>
      <c r="E2166" s="292" t="s">
        <v>2176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4251</v>
      </c>
      <c r="D2167" s="295" t="s">
        <v>4252</v>
      </c>
      <c r="E2167" s="292" t="s">
        <v>4253</v>
      </c>
      <c r="F2167" s="269" t="s">
        <v>4254</v>
      </c>
      <c r="G2167" s="265">
        <v>50000</v>
      </c>
      <c r="H2167" s="269">
        <v>1</v>
      </c>
      <c r="M2167" s="292" t="s">
        <v>4215</v>
      </c>
    </row>
    <row r="2168" spans="1:13" x14ac:dyDescent="0.3">
      <c r="A2168" s="58">
        <v>2168</v>
      </c>
      <c r="B2168" s="264">
        <v>45966</v>
      </c>
      <c r="C2168" s="292" t="s">
        <v>1302</v>
      </c>
      <c r="E2168" s="292" t="s">
        <v>4216</v>
      </c>
      <c r="F2168" s="269" t="s">
        <v>2395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1718</v>
      </c>
      <c r="E2169" s="292" t="s">
        <v>4216</v>
      </c>
      <c r="F2169" s="269" t="s">
        <v>2395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4223</v>
      </c>
      <c r="E2170" s="292" t="s">
        <v>4224</v>
      </c>
      <c r="F2170" s="269" t="s">
        <v>4225</v>
      </c>
      <c r="G2170" s="265">
        <v>1200000</v>
      </c>
      <c r="H2170" s="269">
        <v>1</v>
      </c>
      <c r="J2170" s="266" t="s">
        <v>2968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2198</v>
      </c>
      <c r="F2171" s="269" t="s">
        <v>1952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2676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2179</v>
      </c>
      <c r="F2173" s="269" t="s">
        <v>1716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2174</v>
      </c>
      <c r="F2174" s="269" t="s">
        <v>1460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4188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1890</v>
      </c>
      <c r="E2176" s="292" t="s">
        <v>4222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2865</v>
      </c>
      <c r="E2177" s="292" t="s">
        <v>4226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1743</v>
      </c>
      <c r="E2178" s="292" t="s">
        <v>3777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3813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1718</v>
      </c>
      <c r="E2180" s="292" t="s">
        <v>2286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1667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2011</v>
      </c>
      <c r="E2182" s="292" t="s">
        <v>4231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2406</v>
      </c>
      <c r="E2183" s="292" t="s">
        <v>2193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2598</v>
      </c>
      <c r="E2184" s="292" t="s">
        <v>1713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2011</v>
      </c>
      <c r="E2185" s="292" t="s">
        <v>4235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1743</v>
      </c>
      <c r="E2186" s="292" t="s">
        <v>3954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1743</v>
      </c>
      <c r="E2187" s="292" t="s">
        <v>2184</v>
      </c>
      <c r="F2187" s="269" t="s">
        <v>1255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1743</v>
      </c>
      <c r="E2188" s="292" t="s">
        <v>2186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1801</v>
      </c>
      <c r="E2189" s="292" t="s">
        <v>2188</v>
      </c>
      <c r="F2189" s="269" t="s">
        <v>1818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1718</v>
      </c>
      <c r="E2190" s="292" t="s">
        <v>4245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1302</v>
      </c>
      <c r="E2191" s="292" t="s">
        <v>4169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4034</v>
      </c>
      <c r="E2192" s="292" t="s">
        <v>4246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2020</v>
      </c>
      <c r="E2193" s="292" t="s">
        <v>2286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4034</v>
      </c>
      <c r="E2194" s="292" t="s">
        <v>1796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2020</v>
      </c>
      <c r="E2195" s="292" t="s">
        <v>1796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1667</v>
      </c>
      <c r="E2196" s="292" t="s">
        <v>1796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1576</v>
      </c>
      <c r="E2197" s="292" t="s">
        <v>1202</v>
      </c>
      <c r="F2197" s="269" t="s">
        <v>1748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1576</v>
      </c>
      <c r="E2198" s="292" t="s">
        <v>1701</v>
      </c>
      <c r="F2198" s="269" t="s">
        <v>1700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4255</v>
      </c>
      <c r="E2199" s="292" t="s">
        <v>4256</v>
      </c>
      <c r="F2199" s="269" t="s">
        <v>4257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2288</v>
      </c>
      <c r="E2200" s="292" t="s">
        <v>4258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1786</v>
      </c>
      <c r="E2201" s="292" t="s">
        <v>4132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1537</v>
      </c>
      <c r="E2202" s="292" t="s">
        <v>1202</v>
      </c>
      <c r="F2202" s="269" t="s">
        <v>1748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2492</v>
      </c>
      <c r="E2203" s="292" t="s">
        <v>1915</v>
      </c>
      <c r="G2203" s="265">
        <v>2500000</v>
      </c>
      <c r="H2203" s="269">
        <v>1</v>
      </c>
      <c r="K2203" s="265">
        <v>2500000</v>
      </c>
      <c r="M2203" s="292" t="s">
        <v>4260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2286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4263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1440</v>
      </c>
      <c r="E2206" s="292" t="s">
        <v>3460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1440</v>
      </c>
      <c r="E2207" s="292" t="s">
        <v>2186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1718</v>
      </c>
      <c r="E2208" s="292" t="s">
        <v>1545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2361</v>
      </c>
      <c r="E2209" s="292" t="s">
        <v>4267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2361</v>
      </c>
      <c r="E2210" s="292" t="s">
        <v>4268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3893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1927</v>
      </c>
      <c r="E2212" s="292" t="s">
        <v>4273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1927</v>
      </c>
      <c r="E2213" s="292" t="s">
        <v>4275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1866</v>
      </c>
      <c r="E2214" s="292" t="s">
        <v>2295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1866</v>
      </c>
      <c r="E2215" s="292" t="s">
        <v>4201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2406</v>
      </c>
      <c r="E2216" s="292" t="s">
        <v>1796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3197</v>
      </c>
      <c r="E2217" s="292" t="s">
        <v>2286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4283</v>
      </c>
      <c r="E2218" s="292" t="s">
        <v>4284</v>
      </c>
      <c r="F2218" s="269" t="s">
        <v>4285</v>
      </c>
      <c r="G2218" s="265">
        <v>1200000</v>
      </c>
      <c r="H2218" s="269">
        <v>1</v>
      </c>
      <c r="J2218" s="266" t="s">
        <v>2968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1843</v>
      </c>
      <c r="E2219" s="292" t="s">
        <v>2795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1202</v>
      </c>
      <c r="F2220" s="269" t="s">
        <v>1748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4282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1234</v>
      </c>
      <c r="E2222" s="292" t="s">
        <v>4286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2492</v>
      </c>
      <c r="E2223" s="292" t="s">
        <v>4287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1786</v>
      </c>
      <c r="E2224" s="292" t="s">
        <v>3954</v>
      </c>
      <c r="F2224" s="269" t="s">
        <v>1206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1718</v>
      </c>
      <c r="E2225" s="292" t="s">
        <v>1262</v>
      </c>
      <c r="F2225" s="269" t="s">
        <v>1261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1227</v>
      </c>
      <c r="E2226" s="292" t="s">
        <v>2176</v>
      </c>
      <c r="F2226" s="269" t="s">
        <v>1200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4295</v>
      </c>
    </row>
    <row r="2227" spans="1:13" x14ac:dyDescent="0.3">
      <c r="A2227" s="58">
        <v>2227</v>
      </c>
      <c r="B2227" s="264">
        <v>45973</v>
      </c>
      <c r="C2227" s="292" t="s">
        <v>3285</v>
      </c>
      <c r="E2227" s="292" t="s">
        <v>2176</v>
      </c>
      <c r="F2227" s="269" t="s">
        <v>1200</v>
      </c>
      <c r="G2227" s="265">
        <v>1500000</v>
      </c>
      <c r="H2227" s="269">
        <v>2</v>
      </c>
      <c r="K2227" s="265">
        <v>3000000</v>
      </c>
      <c r="M2227" s="292" t="s">
        <v>4297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3590</v>
      </c>
      <c r="F2228" s="269" t="s">
        <v>3589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2606</v>
      </c>
      <c r="E2229" s="292" t="s">
        <v>1701</v>
      </c>
      <c r="F2229" s="269" t="s">
        <v>1700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2768</v>
      </c>
      <c r="E2230" s="292" t="s">
        <v>1739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1387</v>
      </c>
      <c r="E2231" s="292" t="s">
        <v>2192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2606</v>
      </c>
      <c r="E2232" s="292" t="s">
        <v>4303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2768</v>
      </c>
      <c r="E2233" s="292" t="s">
        <v>4304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3285</v>
      </c>
      <c r="E2234" s="292" t="s">
        <v>4305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1227</v>
      </c>
      <c r="E2235" s="292" t="s">
        <v>4306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4188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2361</v>
      </c>
      <c r="E2237" s="292" t="s">
        <v>4307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2912</v>
      </c>
      <c r="E2238" s="292" t="s">
        <v>2133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2257</v>
      </c>
      <c r="E2239" s="292" t="s">
        <v>2087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3460</v>
      </c>
      <c r="F2240" s="269" t="s">
        <v>1206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2184</v>
      </c>
      <c r="F2241" s="269" t="s">
        <v>1255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2188</v>
      </c>
      <c r="F2242" s="269" t="s">
        <v>1818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2187</v>
      </c>
      <c r="F2243" s="269" t="s">
        <v>1791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2186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4308</v>
      </c>
      <c r="E2245" s="292" t="s">
        <v>1202</v>
      </c>
      <c r="F2245" s="269" t="s">
        <v>1748</v>
      </c>
      <c r="G2245" s="265">
        <v>1300000</v>
      </c>
      <c r="H2245" s="269">
        <v>1</v>
      </c>
      <c r="K2245" s="265">
        <v>1300000</v>
      </c>
    </row>
    <row r="2246" spans="1:12" x14ac:dyDescent="0.3">
      <c r="A2246" s="58">
        <v>2246</v>
      </c>
      <c r="B2246" s="264">
        <v>45974</v>
      </c>
      <c r="C2246" s="292" t="s">
        <v>4308</v>
      </c>
      <c r="E2246" s="292" t="s">
        <v>2380</v>
      </c>
      <c r="F2246" s="269" t="s">
        <v>2872</v>
      </c>
      <c r="G2246" s="265">
        <v>700000</v>
      </c>
      <c r="H2246" s="269">
        <v>1</v>
      </c>
      <c r="K2246" s="265">
        <v>700000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4316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1204</v>
      </c>
      <c r="F2249" s="269" t="s">
        <v>1988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1927</v>
      </c>
      <c r="E2250" s="292" t="s">
        <v>3933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1463</v>
      </c>
      <c r="E2251" s="292" t="s">
        <v>4327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3197</v>
      </c>
      <c r="E2252" s="292" t="s">
        <v>4187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1387</v>
      </c>
      <c r="E2253" s="292" t="s">
        <v>4323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2912</v>
      </c>
      <c r="E2254" s="292" t="s">
        <v>4320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4209</v>
      </c>
      <c r="E2255" s="292" t="s">
        <v>4332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2257</v>
      </c>
      <c r="E2256" s="292" t="s">
        <v>4333</v>
      </c>
      <c r="L2256" s="265">
        <v>-500000</v>
      </c>
    </row>
    <row r="2257" spans="1:11" x14ac:dyDescent="0.3">
      <c r="A2257" s="58">
        <v>2257</v>
      </c>
      <c r="B2257" s="264">
        <v>45974</v>
      </c>
      <c r="C2257" s="292" t="s">
        <v>1465</v>
      </c>
      <c r="E2257" s="292" t="s">
        <v>4334</v>
      </c>
      <c r="G2257" s="265">
        <v>150000</v>
      </c>
      <c r="H2257" s="269">
        <v>1</v>
      </c>
      <c r="K2257" s="265">
        <v>150000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4" sqref="C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45974</v>
      </c>
      <c r="B3" s="235" t="s">
        <v>1126</v>
      </c>
      <c r="C3" s="286">
        <f>SUMIF($B:$B,A3,I:I)</f>
        <v>7985000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1570000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68655000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1679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1537</v>
      </c>
      <c r="D9" s="112" t="s">
        <v>3778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1395</v>
      </c>
      <c r="D10" s="112" t="s">
        <v>3773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1573</v>
      </c>
      <c r="D11" s="112" t="s">
        <v>4174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1718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1801</v>
      </c>
      <c r="D13" s="112" t="s">
        <v>4027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1801</v>
      </c>
      <c r="D14" s="112" t="s">
        <v>2177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3902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1545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2192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1440</v>
      </c>
      <c r="D19" s="112" t="s">
        <v>1557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1391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1395</v>
      </c>
      <c r="D21" s="112" t="s">
        <v>2033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1440</v>
      </c>
      <c r="D22" s="112" t="s">
        <v>4185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1391</v>
      </c>
      <c r="D23" s="112" t="s">
        <v>4186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3197</v>
      </c>
      <c r="D24" s="112" t="s">
        <v>4187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4188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2254</v>
      </c>
      <c r="D26" s="112" t="s">
        <v>4189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2463</v>
      </c>
      <c r="D27" s="112" t="s">
        <v>1713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1440</v>
      </c>
      <c r="D28" s="112" t="s">
        <v>2182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1440</v>
      </c>
      <c r="D29" s="112" t="s">
        <v>2836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3969</v>
      </c>
      <c r="D30" s="112" t="s">
        <v>2314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3969</v>
      </c>
      <c r="D31" s="112" t="s">
        <v>1501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1537</v>
      </c>
      <c r="D32" s="112" t="s">
        <v>1739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2463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1927</v>
      </c>
      <c r="D34" s="113" t="s">
        <v>3120</v>
      </c>
      <c r="F34" s="120">
        <v>1600000</v>
      </c>
      <c r="G34" s="85">
        <v>1</v>
      </c>
      <c r="H34" s="126" t="s">
        <v>2996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4199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3969</v>
      </c>
      <c r="D36" s="113" t="s">
        <v>4201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1374</v>
      </c>
      <c r="D37" s="113" t="s">
        <v>4205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4209</v>
      </c>
      <c r="D38" s="113" t="s">
        <v>2176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1576</v>
      </c>
      <c r="D39" s="113" t="s">
        <v>2176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1576</v>
      </c>
      <c r="D40" s="113" t="s">
        <v>2177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1302</v>
      </c>
      <c r="D41" s="113" t="s">
        <v>4216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1718</v>
      </c>
      <c r="D42" s="112" t="s">
        <v>4216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2865</v>
      </c>
      <c r="D43" s="112" t="s">
        <v>1202</v>
      </c>
      <c r="E43" s="79"/>
      <c r="F43" s="224">
        <v>1200000</v>
      </c>
      <c r="G43" s="85">
        <v>1</v>
      </c>
      <c r="H43" s="128" t="s">
        <v>2968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2198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2676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2179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2174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4188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1890</v>
      </c>
      <c r="D49" s="113" t="s">
        <v>4222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2865</v>
      </c>
      <c r="D50" s="113" t="s">
        <v>4226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1743</v>
      </c>
      <c r="D51" s="113" t="s">
        <v>3777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3813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1718</v>
      </c>
      <c r="D53" s="113" t="s">
        <v>2286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1667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2011</v>
      </c>
      <c r="D55" s="113" t="s">
        <v>4231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2406</v>
      </c>
      <c r="D56" s="113" t="s">
        <v>2193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2598</v>
      </c>
      <c r="D57" s="113" t="s">
        <v>1713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2011</v>
      </c>
      <c r="D58" s="113" t="s">
        <v>4235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1743</v>
      </c>
      <c r="D59" s="113" t="s">
        <v>3954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1743</v>
      </c>
      <c r="D60" s="113" t="s">
        <v>2184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1743</v>
      </c>
      <c r="D61" s="113" t="s">
        <v>2186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1801</v>
      </c>
      <c r="D62" s="113" t="s">
        <v>2188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1718</v>
      </c>
      <c r="D63" s="113" t="s">
        <v>4245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1302</v>
      </c>
      <c r="D64" s="113" t="s">
        <v>4169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4034</v>
      </c>
      <c r="D65" s="113" t="s">
        <v>4246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2020</v>
      </c>
      <c r="D66" s="113" t="s">
        <v>2286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4034</v>
      </c>
      <c r="D67" s="113" t="s">
        <v>1796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2020</v>
      </c>
      <c r="D68" s="113" t="s">
        <v>1796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1667</v>
      </c>
      <c r="D69" s="113" t="s">
        <v>1796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1576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1576</v>
      </c>
      <c r="D71" s="113" t="s">
        <v>1701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2288</v>
      </c>
      <c r="D72" s="113" t="s">
        <v>2023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2288</v>
      </c>
      <c r="D73" s="113" t="s">
        <v>4258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1786</v>
      </c>
      <c r="D74" s="113" t="s">
        <v>4132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1537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2492</v>
      </c>
      <c r="D76" s="113" t="s">
        <v>1915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2286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4263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1440</v>
      </c>
      <c r="D79" s="113" t="s">
        <v>3460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1440</v>
      </c>
      <c r="D80" s="113" t="s">
        <v>2186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1718</v>
      </c>
      <c r="D81" s="113" t="s">
        <v>1545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2361</v>
      </c>
      <c r="D82" s="113" t="s">
        <v>4267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2361</v>
      </c>
      <c r="D83" s="113" t="s">
        <v>4268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3893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1927</v>
      </c>
      <c r="D85" s="113" t="s">
        <v>4273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1927</v>
      </c>
      <c r="D86" s="113" t="s">
        <v>3933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1866</v>
      </c>
      <c r="D87" s="113" t="s">
        <v>2295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1866</v>
      </c>
      <c r="D88" s="113" t="s">
        <v>4201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2406</v>
      </c>
      <c r="D89" s="113" t="s">
        <v>1796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3197</v>
      </c>
      <c r="D90" s="113" t="s">
        <v>2286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1234</v>
      </c>
      <c r="D91" s="113" t="s">
        <v>1204</v>
      </c>
      <c r="F91" s="120">
        <v>1200000</v>
      </c>
      <c r="G91" s="85">
        <v>1</v>
      </c>
      <c r="H91" s="126" t="s">
        <v>2968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1843</v>
      </c>
      <c r="D92" s="113" t="s">
        <v>2795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1202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4282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1234</v>
      </c>
      <c r="D95" s="113" t="s">
        <v>4286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2492</v>
      </c>
      <c r="D96" s="113" t="s">
        <v>4287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1786</v>
      </c>
      <c r="D97" s="113" t="s">
        <v>3954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1718</v>
      </c>
      <c r="D98" s="113" t="s">
        <v>1262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1227</v>
      </c>
      <c r="D99" s="113" t="s">
        <v>2176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3285</v>
      </c>
      <c r="D100" s="113" t="s">
        <v>2176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3590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2606</v>
      </c>
      <c r="D102" s="113" t="s">
        <v>1701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2768</v>
      </c>
      <c r="D103" s="113" t="s">
        <v>1739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1387</v>
      </c>
      <c r="D104" s="113" t="s">
        <v>2192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2606</v>
      </c>
      <c r="D105" s="113" t="s">
        <v>4303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2768</v>
      </c>
      <c r="D106" s="113" t="s">
        <v>4304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3285</v>
      </c>
      <c r="D107" s="113" t="s">
        <v>4305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1227</v>
      </c>
      <c r="D108" s="113" t="s">
        <v>4306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4188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2361</v>
      </c>
      <c r="D110" s="113" t="s">
        <v>4307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2912</v>
      </c>
      <c r="D111" s="113" t="s">
        <v>2133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2257</v>
      </c>
      <c r="D112" s="113" t="s">
        <v>2087</v>
      </c>
      <c r="F112" s="80">
        <v>500000</v>
      </c>
      <c r="G112" s="120">
        <v>1</v>
      </c>
      <c r="I112" s="80">
        <v>500000</v>
      </c>
    </row>
    <row r="113" spans="1:9" ht="18" customHeight="1" x14ac:dyDescent="0.3">
      <c r="A113" s="82">
        <v>2240</v>
      </c>
      <c r="B113" s="93">
        <v>45974</v>
      </c>
      <c r="C113" s="83" t="s">
        <v>1018</v>
      </c>
      <c r="D113" s="113" t="s">
        <v>3460</v>
      </c>
      <c r="F113" s="80">
        <v>530000</v>
      </c>
      <c r="G113" s="120">
        <v>1</v>
      </c>
      <c r="I113" s="80">
        <v>530000</v>
      </c>
    </row>
    <row r="114" spans="1:9" ht="18" customHeight="1" x14ac:dyDescent="0.3">
      <c r="A114" s="82">
        <v>2241</v>
      </c>
      <c r="B114" s="93">
        <v>45974</v>
      </c>
      <c r="C114" s="83" t="s">
        <v>1018</v>
      </c>
      <c r="D114" s="113" t="s">
        <v>2184</v>
      </c>
      <c r="F114" s="80">
        <v>130000</v>
      </c>
      <c r="G114" s="120">
        <v>1</v>
      </c>
      <c r="I114" s="80">
        <v>130000</v>
      </c>
    </row>
    <row r="115" spans="1:9" ht="18" customHeight="1" x14ac:dyDescent="0.3">
      <c r="A115" s="82">
        <v>2242</v>
      </c>
      <c r="B115" s="93">
        <v>45974</v>
      </c>
      <c r="C115" s="83" t="s">
        <v>1018</v>
      </c>
      <c r="D115" s="113" t="s">
        <v>2188</v>
      </c>
      <c r="F115" s="80">
        <v>10000</v>
      </c>
      <c r="G115" s="120">
        <v>2</v>
      </c>
      <c r="I115" s="80">
        <v>20000</v>
      </c>
    </row>
    <row r="116" spans="1:9" ht="18" customHeight="1" x14ac:dyDescent="0.3">
      <c r="A116" s="82">
        <v>2243</v>
      </c>
      <c r="B116" s="93">
        <v>45974</v>
      </c>
      <c r="C116" s="83" t="s">
        <v>1018</v>
      </c>
      <c r="D116" s="113" t="s">
        <v>2187</v>
      </c>
      <c r="F116" s="80">
        <v>35000</v>
      </c>
      <c r="G116" s="120">
        <v>1</v>
      </c>
      <c r="I116" s="80">
        <v>35000</v>
      </c>
    </row>
    <row r="117" spans="1:9" ht="18" customHeight="1" x14ac:dyDescent="0.3">
      <c r="A117" s="82">
        <v>2244</v>
      </c>
      <c r="B117" s="93">
        <v>45974</v>
      </c>
      <c r="C117" s="83" t="s">
        <v>1018</v>
      </c>
      <c r="D117" s="113" t="s">
        <v>2186</v>
      </c>
      <c r="F117" s="80">
        <v>70000</v>
      </c>
      <c r="G117" s="120">
        <v>1</v>
      </c>
      <c r="I117" s="80">
        <v>70000</v>
      </c>
    </row>
    <row r="118" spans="1:9" ht="18" customHeight="1" x14ac:dyDescent="0.3">
      <c r="A118" s="82">
        <v>2245</v>
      </c>
      <c r="B118" s="93">
        <v>45974</v>
      </c>
      <c r="C118" s="83" t="s">
        <v>4308</v>
      </c>
      <c r="D118" s="113" t="s">
        <v>1202</v>
      </c>
      <c r="F118" s="80">
        <v>1300000</v>
      </c>
      <c r="G118" s="120">
        <v>1</v>
      </c>
      <c r="I118" s="80">
        <v>1300000</v>
      </c>
    </row>
    <row r="119" spans="1:9" ht="18" customHeight="1" x14ac:dyDescent="0.3">
      <c r="A119" s="82">
        <v>2246</v>
      </c>
      <c r="B119" s="93">
        <v>45974</v>
      </c>
      <c r="C119" s="83" t="s">
        <v>4308</v>
      </c>
      <c r="D119" s="113" t="s">
        <v>2380</v>
      </c>
      <c r="F119" s="80">
        <v>700000</v>
      </c>
      <c r="G119" s="120">
        <v>1</v>
      </c>
      <c r="I119" s="80">
        <v>700000</v>
      </c>
    </row>
    <row r="120" spans="1:9" ht="18" customHeight="1" x14ac:dyDescent="0.3">
      <c r="A120" s="82">
        <v>2247</v>
      </c>
      <c r="B120" s="93">
        <v>45974</v>
      </c>
      <c r="C120" s="83" t="s">
        <v>1015</v>
      </c>
      <c r="D120" s="113" t="s">
        <v>4316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9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9" ht="18" customHeight="1" x14ac:dyDescent="0.3">
      <c r="A122" s="82">
        <v>2249</v>
      </c>
      <c r="B122" s="93">
        <v>45974</v>
      </c>
      <c r="C122" s="83" t="s">
        <v>1053</v>
      </c>
      <c r="D122" s="113" t="s">
        <v>1204</v>
      </c>
      <c r="F122" s="120">
        <v>1900000</v>
      </c>
      <c r="G122" s="85">
        <v>1</v>
      </c>
      <c r="I122" s="80">
        <v>1900000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2318</v>
      </c>
      <c r="C1" s="453" t="s">
        <v>2520</v>
      </c>
      <c r="D1" s="450" t="s">
        <v>2549</v>
      </c>
      <c r="E1" s="450" t="s">
        <v>36</v>
      </c>
      <c r="F1" s="450" t="s">
        <v>2704</v>
      </c>
      <c r="G1" s="450"/>
      <c r="H1" s="450" t="s">
        <v>2705</v>
      </c>
      <c r="I1" s="450"/>
      <c r="J1" s="450" t="s">
        <v>2706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2521</v>
      </c>
      <c r="G2" s="281" t="s">
        <v>2522</v>
      </c>
      <c r="H2" s="281" t="s">
        <v>2523</v>
      </c>
      <c r="I2" s="281" t="s">
        <v>2524</v>
      </c>
      <c r="J2" s="281" t="s">
        <v>2523</v>
      </c>
      <c r="K2" s="281" t="s">
        <v>2524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2525</v>
      </c>
      <c r="D3" s="277" t="s">
        <v>2526</v>
      </c>
      <c r="E3" s="277" t="s">
        <v>2527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2528</v>
      </c>
      <c r="D4" s="252" t="s">
        <v>2529</v>
      </c>
      <c r="E4" s="252" t="s">
        <v>2527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2525</v>
      </c>
      <c r="D5" s="252" t="s">
        <v>2526</v>
      </c>
      <c r="E5" s="252" t="s">
        <v>2527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2525</v>
      </c>
      <c r="D6" s="252" t="s">
        <v>2526</v>
      </c>
      <c r="E6" s="252" t="s">
        <v>2527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2525</v>
      </c>
      <c r="D7" s="252" t="s">
        <v>2526</v>
      </c>
      <c r="E7" s="252" t="s">
        <v>2530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2531</v>
      </c>
      <c r="D8" s="252" t="s">
        <v>2532</v>
      </c>
      <c r="E8" s="252" t="s">
        <v>2527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2533</v>
      </c>
      <c r="D9" s="252" t="s">
        <v>2534</v>
      </c>
      <c r="E9" s="252" t="s">
        <v>2527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2535</v>
      </c>
      <c r="D10" s="252" t="s">
        <v>2526</v>
      </c>
      <c r="E10" s="252" t="s">
        <v>2530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2536</v>
      </c>
      <c r="D11" s="252" t="s">
        <v>2526</v>
      </c>
      <c r="E11" s="252" t="s">
        <v>2530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2525</v>
      </c>
      <c r="D12" s="252" t="s">
        <v>2526</v>
      </c>
      <c r="E12" s="252" t="s">
        <v>2527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2525</v>
      </c>
      <c r="D13" s="252" t="s">
        <v>2526</v>
      </c>
      <c r="E13" s="252" t="s">
        <v>2527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2528</v>
      </c>
      <c r="D14" s="252" t="s">
        <v>2529</v>
      </c>
      <c r="E14" s="252" t="s">
        <v>2530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2525</v>
      </c>
      <c r="D15" s="252" t="s">
        <v>2526</v>
      </c>
      <c r="E15" s="252" t="s">
        <v>2530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2537</v>
      </c>
      <c r="D16" s="252" t="s">
        <v>2538</v>
      </c>
      <c r="E16" s="252" t="s">
        <v>2530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2525</v>
      </c>
      <c r="D17" s="252" t="s">
        <v>2526</v>
      </c>
      <c r="E17" s="252" t="s">
        <v>2530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2536</v>
      </c>
      <c r="D18" s="252" t="s">
        <v>2526</v>
      </c>
      <c r="E18" s="252" t="s">
        <v>2527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2539</v>
      </c>
      <c r="D19" s="252" t="s">
        <v>2540</v>
      </c>
      <c r="E19" s="252" t="s">
        <v>2530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2535</v>
      </c>
      <c r="D20" s="252" t="s">
        <v>2526</v>
      </c>
      <c r="E20" s="252" t="s">
        <v>2530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2541</v>
      </c>
      <c r="D21" s="252" t="s">
        <v>2538</v>
      </c>
      <c r="E21" s="252" t="s">
        <v>2530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2542</v>
      </c>
      <c r="D22" s="252" t="s">
        <v>2543</v>
      </c>
      <c r="E22" s="252" t="s">
        <v>2530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2544</v>
      </c>
      <c r="D23" s="252" t="s">
        <v>2545</v>
      </c>
      <c r="E23" s="252" t="s">
        <v>2530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2528</v>
      </c>
      <c r="D24" s="252" t="s">
        <v>2529</v>
      </c>
      <c r="E24" s="252" t="s">
        <v>2530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2525</v>
      </c>
      <c r="D25" s="252" t="s">
        <v>2526</v>
      </c>
      <c r="E25" s="252" t="s">
        <v>2530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2525</v>
      </c>
      <c r="D26" s="252" t="s">
        <v>2546</v>
      </c>
      <c r="E26" s="252" t="s">
        <v>2530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2547</v>
      </c>
      <c r="D27" s="252" t="s">
        <v>2526</v>
      </c>
      <c r="E27" s="252" t="s">
        <v>2530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2525</v>
      </c>
      <c r="D28" s="252" t="s">
        <v>2526</v>
      </c>
      <c r="E28" s="252" t="s">
        <v>2530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2525</v>
      </c>
      <c r="D29" s="252" t="s">
        <v>2526</v>
      </c>
      <c r="E29" s="252" t="s">
        <v>2530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2535</v>
      </c>
      <c r="D30" s="252" t="s">
        <v>2526</v>
      </c>
      <c r="E30" s="252" t="s">
        <v>2530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2539</v>
      </c>
      <c r="D31" s="252" t="s">
        <v>2540</v>
      </c>
      <c r="E31" s="252" t="s">
        <v>2530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2537</v>
      </c>
      <c r="D32" s="252" t="s">
        <v>2538</v>
      </c>
      <c r="E32" s="252" t="s">
        <v>2530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2536</v>
      </c>
      <c r="D33" s="252" t="s">
        <v>2526</v>
      </c>
      <c r="E33" s="252" t="s">
        <v>2530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2541</v>
      </c>
      <c r="D34" s="252" t="s">
        <v>2538</v>
      </c>
      <c r="E34" s="252" t="s">
        <v>2530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2528</v>
      </c>
      <c r="D35" s="252" t="s">
        <v>2529</v>
      </c>
      <c r="E35" s="252" t="s">
        <v>2530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2525</v>
      </c>
      <c r="D36" s="252" t="s">
        <v>2526</v>
      </c>
      <c r="E36" s="252" t="s">
        <v>2530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2528</v>
      </c>
      <c r="D37" s="252" t="s">
        <v>2529</v>
      </c>
      <c r="E37" s="252" t="s">
        <v>2530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2544</v>
      </c>
      <c r="D38" s="252" t="s">
        <v>2545</v>
      </c>
      <c r="E38" s="252" t="s">
        <v>2530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2525</v>
      </c>
      <c r="D39" s="252" t="s">
        <v>2526</v>
      </c>
      <c r="E39" s="252" t="s">
        <v>2530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2528</v>
      </c>
      <c r="D40" s="252" t="s">
        <v>2529</v>
      </c>
      <c r="E40" s="252" t="s">
        <v>2530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2542</v>
      </c>
      <c r="D41" s="252" t="s">
        <v>2543</v>
      </c>
      <c r="E41" s="252" t="s">
        <v>2530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2544</v>
      </c>
      <c r="D42" s="252" t="s">
        <v>2545</v>
      </c>
      <c r="E42" s="252" t="s">
        <v>2530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2525</v>
      </c>
      <c r="D43" s="252" t="s">
        <v>2526</v>
      </c>
      <c r="E43" s="252" t="s">
        <v>2530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2535</v>
      </c>
      <c r="D44" s="252" t="s">
        <v>2526</v>
      </c>
      <c r="E44" s="252" t="s">
        <v>2530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2541</v>
      </c>
      <c r="D45" s="252" t="s">
        <v>2538</v>
      </c>
      <c r="E45" s="252" t="s">
        <v>2530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2536</v>
      </c>
      <c r="D46" s="252" t="s">
        <v>2526</v>
      </c>
      <c r="E46" s="252" t="s">
        <v>2530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2537</v>
      </c>
      <c r="D47" s="252" t="s">
        <v>2538</v>
      </c>
      <c r="E47" s="252" t="s">
        <v>2530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2969</v>
      </c>
      <c r="D48" s="252" t="s">
        <v>2970</v>
      </c>
      <c r="E48" s="252" t="s">
        <v>2530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3048</v>
      </c>
      <c r="D49" s="252" t="s">
        <v>3049</v>
      </c>
      <c r="E49" s="252" t="s">
        <v>2530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2525</v>
      </c>
      <c r="D50" s="252" t="s">
        <v>2970</v>
      </c>
      <c r="E50" s="252" t="s">
        <v>2530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2544</v>
      </c>
      <c r="D51" s="252" t="s">
        <v>3052</v>
      </c>
      <c r="E51" s="252" t="s">
        <v>2530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3050</v>
      </c>
      <c r="D52" s="252" t="s">
        <v>3051</v>
      </c>
      <c r="E52" s="252" t="s">
        <v>2530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2544</v>
      </c>
      <c r="D53" s="252" t="s">
        <v>3052</v>
      </c>
      <c r="E53" s="252" t="s">
        <v>2530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3053</v>
      </c>
      <c r="D54" s="252" t="s">
        <v>3054</v>
      </c>
      <c r="E54" s="252" t="s">
        <v>2530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2535</v>
      </c>
      <c r="D55" s="252" t="s">
        <v>2526</v>
      </c>
      <c r="E55" s="252" t="s">
        <v>2530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2541</v>
      </c>
      <c r="D56" s="252" t="s">
        <v>2538</v>
      </c>
      <c r="E56" s="252" t="s">
        <v>2530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2537</v>
      </c>
      <c r="D57" s="252" t="s">
        <v>2538</v>
      </c>
      <c r="E57" s="252" t="s">
        <v>2530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2536</v>
      </c>
      <c r="D58" s="252" t="s">
        <v>2526</v>
      </c>
      <c r="E58" s="252" t="s">
        <v>2530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2531</v>
      </c>
      <c r="D59" s="252" t="s">
        <v>2532</v>
      </c>
      <c r="E59" s="252" t="s">
        <v>2530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2525</v>
      </c>
      <c r="D60" s="252" t="s">
        <v>2526</v>
      </c>
      <c r="E60" s="252" t="s">
        <v>2530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2530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2530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2530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2530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2530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2530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2530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2530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2530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2530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2530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2530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2530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2530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2530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2530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2530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2530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2530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2530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2530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2530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2530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2530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2530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2530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2530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2530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2527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2530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2530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2530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2530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2530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2530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2530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2530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2530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2530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2530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2530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2530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2530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2530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2530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2530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2530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2530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2530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2530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2530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2530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2530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2530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2530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2530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2530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2530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2530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2530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2530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2530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2530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2530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2530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2530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2530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2530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2530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2530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2530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2530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2530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2530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2548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3665</v>
      </c>
      <c r="B1" s="283" t="s">
        <v>49</v>
      </c>
      <c r="C1" s="299" t="s">
        <v>2828</v>
      </c>
      <c r="D1" s="283" t="s">
        <v>2827</v>
      </c>
      <c r="E1" s="283"/>
      <c r="F1" s="282"/>
    </row>
    <row r="2" spans="1:6" x14ac:dyDescent="0.3">
      <c r="B2" s="58" t="s">
        <v>1298</v>
      </c>
      <c r="C2" s="301">
        <f>SUMIF(BTS_매출관리!C:C,B2,BTS_매출관리!I:I)</f>
        <v>1200000</v>
      </c>
      <c r="D2" s="58">
        <f t="shared" ref="D2:D65" si="0">RANK(C2,C:C,0)</f>
        <v>25</v>
      </c>
    </row>
    <row r="3" spans="1:6" x14ac:dyDescent="0.3">
      <c r="B3" s="269" t="s">
        <v>1348</v>
      </c>
      <c r="C3" s="268">
        <f>SUMIF(BTS_매출관리!C:C,B3,BTS_매출관리!I:I)</f>
        <v>2494000</v>
      </c>
      <c r="D3" s="269">
        <f t="shared" si="0"/>
        <v>11</v>
      </c>
    </row>
    <row r="4" spans="1:6" x14ac:dyDescent="0.3">
      <c r="B4" s="58" t="s">
        <v>1275</v>
      </c>
      <c r="C4" s="301">
        <f>SUMIF(BTS_매출관리!C:C,B4,BTS_매출관리!I:I)</f>
        <v>400000</v>
      </c>
      <c r="D4" s="58">
        <f t="shared" si="0"/>
        <v>34</v>
      </c>
    </row>
    <row r="5" spans="1:6" x14ac:dyDescent="0.3">
      <c r="B5" s="58" t="s">
        <v>1332</v>
      </c>
      <c r="C5" s="301">
        <f>SUMIF(BTS_매출관리!C:C,B5,BTS_매출관리!I:I)</f>
        <v>4000000</v>
      </c>
      <c r="D5" s="58">
        <f t="shared" si="0"/>
        <v>3</v>
      </c>
    </row>
    <row r="6" spans="1:6" x14ac:dyDescent="0.3">
      <c r="B6" s="58" t="s">
        <v>1349</v>
      </c>
      <c r="C6" s="301">
        <f>SUMIF(BTS_매출관리!C:C,B6,BTS_매출관리!I:I)</f>
        <v>693000</v>
      </c>
      <c r="D6" s="58">
        <f t="shared" si="0"/>
        <v>30</v>
      </c>
    </row>
    <row r="7" spans="1:6" x14ac:dyDescent="0.3">
      <c r="B7" s="58" t="s">
        <v>1286</v>
      </c>
      <c r="C7" s="301">
        <f>SUMIF(BTS_매출관리!C:C,B7,BTS_매출관리!I:I)</f>
        <v>0</v>
      </c>
      <c r="D7" s="58">
        <f t="shared" si="0"/>
        <v>39</v>
      </c>
    </row>
    <row r="8" spans="1:6" x14ac:dyDescent="0.3">
      <c r="B8" s="58" t="s">
        <v>1270</v>
      </c>
      <c r="C8" s="301">
        <f>SUMIF(BTS_매출관리!C:C,B8,BTS_매출관리!I:I)</f>
        <v>0</v>
      </c>
      <c r="D8" s="58">
        <f t="shared" si="0"/>
        <v>39</v>
      </c>
    </row>
    <row r="9" spans="1:6" x14ac:dyDescent="0.3">
      <c r="B9" s="58" t="s">
        <v>2211</v>
      </c>
      <c r="C9" s="301">
        <f>SUMIF(BTS_매출관리!C:C,B9,BTS_매출관리!I:I)</f>
        <v>2850000</v>
      </c>
      <c r="D9" s="58">
        <f t="shared" si="0"/>
        <v>7</v>
      </c>
    </row>
    <row r="10" spans="1:6" x14ac:dyDescent="0.3">
      <c r="B10" s="269" t="s">
        <v>1320</v>
      </c>
      <c r="C10" s="268">
        <f>SUMIF(BTS_매출관리!C:C,B10,BTS_매출관리!I:I)</f>
        <v>0</v>
      </c>
      <c r="D10" s="269">
        <f t="shared" si="0"/>
        <v>39</v>
      </c>
    </row>
    <row r="11" spans="1:6" x14ac:dyDescent="0.3">
      <c r="B11" s="58" t="s">
        <v>1329</v>
      </c>
      <c r="C11" s="301">
        <f>SUMIF(BTS_매출관리!C:C,B11,BTS_매출관리!I:I)</f>
        <v>2300000</v>
      </c>
      <c r="D11" s="58">
        <f t="shared" si="0"/>
        <v>12</v>
      </c>
    </row>
    <row r="12" spans="1:6" x14ac:dyDescent="0.3">
      <c r="B12" s="58" t="s">
        <v>1330</v>
      </c>
      <c r="C12" s="301">
        <f>SUMIF(BTS_매출관리!C:C,B12,BTS_매출관리!I:I)</f>
        <v>0</v>
      </c>
      <c r="D12" s="58">
        <f t="shared" si="0"/>
        <v>39</v>
      </c>
      <c r="F12" t="str">
        <f>IF(D12 &lt; 10,,"")</f>
        <v/>
      </c>
    </row>
    <row r="13" spans="1:6" x14ac:dyDescent="0.3">
      <c r="B13" s="269" t="s">
        <v>3397</v>
      </c>
      <c r="C13" s="268">
        <f>SUMIF(BTS_매출관리!C:C,B13,BTS_매출관리!I:I)</f>
        <v>0</v>
      </c>
      <c r="D13" s="269">
        <f t="shared" si="0"/>
        <v>39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24</v>
      </c>
      <c r="F14" t="str">
        <f>IF(D14 &lt; 10,,"")</f>
        <v/>
      </c>
    </row>
    <row r="15" spans="1:6" x14ac:dyDescent="0.3">
      <c r="B15" s="58" t="s">
        <v>1309</v>
      </c>
      <c r="C15" s="301">
        <f>SUMIF(BTS_매출관리!C:C,B15,BTS_매출관리!I:I)</f>
        <v>0</v>
      </c>
      <c r="D15" s="58">
        <f t="shared" si="0"/>
        <v>39</v>
      </c>
    </row>
    <row r="16" spans="1:6" x14ac:dyDescent="0.3">
      <c r="B16" s="269" t="s">
        <v>1311</v>
      </c>
      <c r="C16" s="268">
        <f>SUMIF(BTS_매출관리!C:C,B16,BTS_매출관리!I:I)</f>
        <v>0</v>
      </c>
      <c r="D16" s="269">
        <f t="shared" si="0"/>
        <v>39</v>
      </c>
    </row>
    <row r="17" spans="2:18" x14ac:dyDescent="0.3">
      <c r="B17" s="269" t="s">
        <v>1277</v>
      </c>
      <c r="C17" s="268">
        <f>SUMIF(BTS_매출관리!C:C,B17,BTS_매출관리!I:I)</f>
        <v>0</v>
      </c>
      <c r="D17" s="269">
        <f t="shared" si="0"/>
        <v>39</v>
      </c>
    </row>
    <row r="18" spans="2:18" x14ac:dyDescent="0.3">
      <c r="B18" s="58" t="s">
        <v>1667</v>
      </c>
      <c r="C18" s="301">
        <f>SUMIF(BTS_매출관리!C:C,B18,BTS_매출관리!I:I)</f>
        <v>1340000</v>
      </c>
      <c r="D18" s="58">
        <f t="shared" si="0"/>
        <v>21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39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39</v>
      </c>
    </row>
    <row r="21" spans="2:18" x14ac:dyDescent="0.3">
      <c r="B21" s="58" t="s">
        <v>1337</v>
      </c>
      <c r="C21" s="301">
        <f>SUMIF(BTS_매출관리!C:C,B21,BTS_매출관리!I:I)</f>
        <v>0</v>
      </c>
      <c r="D21" s="58">
        <f t="shared" si="0"/>
        <v>39</v>
      </c>
      <c r="F21" t="s">
        <v>3691</v>
      </c>
    </row>
    <row r="22" spans="2:18" x14ac:dyDescent="0.3">
      <c r="B22" s="58" t="s">
        <v>1158</v>
      </c>
      <c r="C22" s="301">
        <f>SUMIF(BTS_매출관리!C:C,B22,BTS_매출관리!I:I)</f>
        <v>715000</v>
      </c>
      <c r="D22" s="58">
        <f t="shared" si="0"/>
        <v>28</v>
      </c>
      <c r="F22" t="s">
        <v>3666</v>
      </c>
      <c r="G22" t="s">
        <v>3796</v>
      </c>
      <c r="I22" t="s">
        <v>3669</v>
      </c>
      <c r="J22" s="303" t="s">
        <v>3709</v>
      </c>
      <c r="O22" t="s">
        <v>3692</v>
      </c>
      <c r="P22">
        <v>2</v>
      </c>
      <c r="Q22" t="s">
        <v>3797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39</v>
      </c>
      <c r="F23" t="s">
        <v>3667</v>
      </c>
      <c r="G23" t="s">
        <v>3796</v>
      </c>
      <c r="I23" t="s">
        <v>3671</v>
      </c>
      <c r="J23" s="303" t="s">
        <v>3709</v>
      </c>
      <c r="O23" t="s">
        <v>3693</v>
      </c>
      <c r="P23">
        <v>3</v>
      </c>
      <c r="Q23" t="s">
        <v>3797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39</v>
      </c>
      <c r="F24" t="s">
        <v>3668</v>
      </c>
      <c r="G24" t="s">
        <v>3796</v>
      </c>
      <c r="I24" t="s">
        <v>3673</v>
      </c>
      <c r="J24" s="303" t="s">
        <v>3709</v>
      </c>
      <c r="O24" t="s">
        <v>3694</v>
      </c>
      <c r="P24">
        <v>2</v>
      </c>
      <c r="Q24" t="s">
        <v>3797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39</v>
      </c>
      <c r="F25" t="s">
        <v>3670</v>
      </c>
      <c r="G25" t="s">
        <v>3709</v>
      </c>
      <c r="I25" t="s">
        <v>3676</v>
      </c>
      <c r="J25" s="303" t="s">
        <v>3796</v>
      </c>
      <c r="O25" t="s">
        <v>3695</v>
      </c>
      <c r="P25">
        <v>1</v>
      </c>
      <c r="R25" t="s">
        <v>3796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39</v>
      </c>
      <c r="F26" t="s">
        <v>3672</v>
      </c>
      <c r="G26" t="s">
        <v>3796</v>
      </c>
      <c r="I26" t="s">
        <v>3689</v>
      </c>
      <c r="J26" s="303" t="s">
        <v>3728</v>
      </c>
      <c r="O26" t="s">
        <v>3696</v>
      </c>
      <c r="P26">
        <v>2</v>
      </c>
      <c r="Q26" t="s">
        <v>3710</v>
      </c>
    </row>
    <row r="27" spans="2:18" x14ac:dyDescent="0.3">
      <c r="B27" s="269" t="s">
        <v>1338</v>
      </c>
      <c r="C27" s="268">
        <f>SUMIF(BTS_매출관리!C:C,B27,BTS_매출관리!I:I)</f>
        <v>0</v>
      </c>
      <c r="D27" s="269">
        <f t="shared" si="0"/>
        <v>39</v>
      </c>
      <c r="F27" t="s">
        <v>3782</v>
      </c>
      <c r="G27" t="s">
        <v>3804</v>
      </c>
      <c r="I27" t="s">
        <v>2856</v>
      </c>
      <c r="J27" s="303" t="s">
        <v>3728</v>
      </c>
      <c r="O27" t="s">
        <v>3697</v>
      </c>
      <c r="P27">
        <v>1</v>
      </c>
      <c r="Q27" t="s">
        <v>3709</v>
      </c>
    </row>
    <row r="28" spans="2:18" x14ac:dyDescent="0.3">
      <c r="B28" s="58" t="s">
        <v>2357</v>
      </c>
      <c r="C28" s="301">
        <f>SUMIF(BTS_매출관리!C:C,B28,BTS_매출관리!I:I)</f>
        <v>4466000</v>
      </c>
      <c r="D28" s="58">
        <f t="shared" si="0"/>
        <v>1</v>
      </c>
      <c r="F28" t="s">
        <v>3675</v>
      </c>
      <c r="G28" t="s">
        <v>3802</v>
      </c>
      <c r="I28" t="s">
        <v>2254</v>
      </c>
      <c r="J28" s="303" t="s">
        <v>3728</v>
      </c>
      <c r="O28" t="s">
        <v>3698</v>
      </c>
      <c r="P28">
        <v>2</v>
      </c>
      <c r="R28" t="s">
        <v>3803</v>
      </c>
    </row>
    <row r="29" spans="2:18" x14ac:dyDescent="0.3">
      <c r="B29" s="269" t="s">
        <v>1370</v>
      </c>
      <c r="C29" s="268">
        <f>SUMIF(BTS_매출관리!C:C,B29,BTS_매출관리!I:I)</f>
        <v>0</v>
      </c>
      <c r="D29" s="269">
        <f t="shared" si="0"/>
        <v>39</v>
      </c>
      <c r="F29" t="s">
        <v>3677</v>
      </c>
      <c r="G29" t="s">
        <v>3796</v>
      </c>
      <c r="O29" t="s">
        <v>3699</v>
      </c>
      <c r="P29">
        <v>2</v>
      </c>
      <c r="Q29" t="s">
        <v>3797</v>
      </c>
    </row>
    <row r="30" spans="2:18" x14ac:dyDescent="0.3">
      <c r="B30" s="58" t="s">
        <v>2780</v>
      </c>
      <c r="C30" s="301">
        <f>SUMIF(BTS_매출관리!C:C,B30,BTS_매출관리!I:I)</f>
        <v>0</v>
      </c>
      <c r="D30" s="58">
        <f t="shared" si="0"/>
        <v>39</v>
      </c>
      <c r="F30" t="s">
        <v>3678</v>
      </c>
      <c r="G30" t="s">
        <v>3802</v>
      </c>
      <c r="O30" t="s">
        <v>3700</v>
      </c>
      <c r="P30">
        <v>2</v>
      </c>
      <c r="Q30" t="s">
        <v>3727</v>
      </c>
    </row>
    <row r="31" spans="2:18" x14ac:dyDescent="0.3">
      <c r="B31" s="58" t="s">
        <v>1326</v>
      </c>
      <c r="C31" s="301">
        <f>SUMIF(BTS_매출관리!C:C,B31,BTS_매출관리!I:I)</f>
        <v>0</v>
      </c>
      <c r="D31" s="58">
        <f t="shared" si="0"/>
        <v>39</v>
      </c>
      <c r="F31" t="s">
        <v>3679</v>
      </c>
      <c r="G31" t="s">
        <v>3796</v>
      </c>
      <c r="O31" t="s">
        <v>3701</v>
      </c>
      <c r="P31">
        <v>1</v>
      </c>
      <c r="R31" t="s">
        <v>3802</v>
      </c>
    </row>
    <row r="32" spans="2:18" x14ac:dyDescent="0.3">
      <c r="B32" s="58" t="s">
        <v>2557</v>
      </c>
      <c r="C32" s="301">
        <f>SUMIF(BTS_매출관리!C:C,B32,BTS_매출관리!I:I)</f>
        <v>0</v>
      </c>
      <c r="D32" s="58">
        <f t="shared" si="0"/>
        <v>39</v>
      </c>
      <c r="F32" t="s">
        <v>3680</v>
      </c>
      <c r="G32" t="s">
        <v>3796</v>
      </c>
      <c r="O32" t="s">
        <v>3702</v>
      </c>
      <c r="P32">
        <v>1</v>
      </c>
      <c r="R32" t="s">
        <v>3796</v>
      </c>
    </row>
    <row r="33" spans="2:17" x14ac:dyDescent="0.3">
      <c r="B33" s="269" t="s">
        <v>3628</v>
      </c>
      <c r="C33" s="268">
        <f>SUMIF(BTS_매출관리!C:C,B33,BTS_매출관리!I:I)</f>
        <v>0</v>
      </c>
      <c r="D33" s="269">
        <f t="shared" si="0"/>
        <v>39</v>
      </c>
      <c r="F33" t="s">
        <v>3681</v>
      </c>
      <c r="G33" t="s">
        <v>3796</v>
      </c>
      <c r="O33" t="s">
        <v>3703</v>
      </c>
      <c r="P33">
        <v>1</v>
      </c>
      <c r="Q33" t="s">
        <v>3711</v>
      </c>
    </row>
    <row r="34" spans="2:17" x14ac:dyDescent="0.3">
      <c r="B34" s="269" t="s">
        <v>1264</v>
      </c>
      <c r="C34" s="268">
        <f>SUMIF(BTS_매출관리!C:C,B34,BTS_매출관리!I:I)</f>
        <v>0</v>
      </c>
      <c r="D34" s="269">
        <f t="shared" si="0"/>
        <v>39</v>
      </c>
      <c r="F34" t="s">
        <v>3682</v>
      </c>
      <c r="G34" t="s">
        <v>3802</v>
      </c>
      <c r="O34" t="s">
        <v>3674</v>
      </c>
      <c r="P34">
        <v>2</v>
      </c>
      <c r="Q34" t="s">
        <v>3797</v>
      </c>
    </row>
    <row r="35" spans="2:17" x14ac:dyDescent="0.3">
      <c r="B35" s="58" t="s">
        <v>1285</v>
      </c>
      <c r="C35" s="301">
        <f>SUMIF(BTS_매출관리!C:C,B35,BTS_매출관리!I:I)</f>
        <v>4438000</v>
      </c>
      <c r="D35" s="58">
        <f t="shared" si="0"/>
        <v>2</v>
      </c>
      <c r="F35" t="s">
        <v>3683</v>
      </c>
      <c r="G35" t="s">
        <v>3802</v>
      </c>
      <c r="O35" t="s">
        <v>3704</v>
      </c>
      <c r="P35">
        <v>1</v>
      </c>
    </row>
    <row r="36" spans="2:17" x14ac:dyDescent="0.3">
      <c r="B36" s="58" t="s">
        <v>1345</v>
      </c>
      <c r="C36" s="301">
        <f>SUMIF(BTS_매출관리!C:C,B36,BTS_매출관리!I:I)</f>
        <v>385000</v>
      </c>
      <c r="D36" s="58">
        <f t="shared" si="0"/>
        <v>35</v>
      </c>
      <c r="F36" t="s">
        <v>3684</v>
      </c>
      <c r="G36" t="s">
        <v>3796</v>
      </c>
      <c r="O36" t="s">
        <v>3705</v>
      </c>
      <c r="P36">
        <v>1</v>
      </c>
      <c r="Q36" t="s">
        <v>3797</v>
      </c>
    </row>
    <row r="37" spans="2:17" x14ac:dyDescent="0.3">
      <c r="B37" s="58" t="s">
        <v>1272</v>
      </c>
      <c r="C37" s="301">
        <f>SUMIF(BTS_매출관리!C:C,B37,BTS_매출관리!I:I)</f>
        <v>0</v>
      </c>
      <c r="D37" s="58">
        <f t="shared" si="0"/>
        <v>39</v>
      </c>
      <c r="F37" t="s">
        <v>3685</v>
      </c>
      <c r="G37" t="s">
        <v>3796</v>
      </c>
    </row>
    <row r="38" spans="2:17" x14ac:dyDescent="0.3">
      <c r="B38" s="58" t="s">
        <v>1322</v>
      </c>
      <c r="C38" s="301">
        <f>SUMIF(BTS_매출관리!C:C,B38,BTS_매출관리!I:I)</f>
        <v>0</v>
      </c>
      <c r="D38" s="58">
        <f t="shared" si="0"/>
        <v>39</v>
      </c>
      <c r="F38" t="s">
        <v>3686</v>
      </c>
      <c r="G38" t="s">
        <v>3802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39</v>
      </c>
      <c r="F39" t="s">
        <v>3687</v>
      </c>
      <c r="G39" t="s">
        <v>3802</v>
      </c>
    </row>
    <row r="40" spans="2:17" x14ac:dyDescent="0.3">
      <c r="B40" s="58" t="s">
        <v>1292</v>
      </c>
      <c r="C40" s="301">
        <f>SUMIF(BTS_매출관리!C:C,B40,BTS_매출관리!I:I)</f>
        <v>0</v>
      </c>
      <c r="D40" s="58">
        <f t="shared" si="0"/>
        <v>39</v>
      </c>
      <c r="F40" t="s">
        <v>3688</v>
      </c>
      <c r="G40" t="s">
        <v>3802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39</v>
      </c>
      <c r="F41" t="s">
        <v>3690</v>
      </c>
      <c r="G41" t="s">
        <v>3796</v>
      </c>
    </row>
    <row r="42" spans="2:17" x14ac:dyDescent="0.3">
      <c r="B42" s="58" t="s">
        <v>1484</v>
      </c>
      <c r="C42" s="301">
        <f>SUMIF(BTS_매출관리!C:C,B42,BTS_매출관리!I:I)</f>
        <v>0</v>
      </c>
      <c r="D42" s="58">
        <f t="shared" si="0"/>
        <v>39</v>
      </c>
      <c r="F42" t="s">
        <v>1324</v>
      </c>
      <c r="G42" t="s">
        <v>3802</v>
      </c>
    </row>
    <row r="43" spans="2:17" x14ac:dyDescent="0.3">
      <c r="B43" s="269" t="s">
        <v>1230</v>
      </c>
      <c r="C43" s="268">
        <f>SUMIF(BTS_매출관리!C:C,B43,BTS_매출관리!I:I)</f>
        <v>1700000</v>
      </c>
      <c r="D43" s="269">
        <f t="shared" si="0"/>
        <v>16</v>
      </c>
      <c r="F43" t="s">
        <v>3783</v>
      </c>
      <c r="G43" t="s">
        <v>3796</v>
      </c>
    </row>
    <row r="44" spans="2:17" x14ac:dyDescent="0.3">
      <c r="B44" s="58" t="s">
        <v>1283</v>
      </c>
      <c r="C44" s="301">
        <f>SUMIF(BTS_매출관리!C:C,B44,BTS_매출관리!I:I)</f>
        <v>3025000</v>
      </c>
      <c r="D44" s="58">
        <f t="shared" si="0"/>
        <v>5</v>
      </c>
      <c r="F44" t="s">
        <v>3784</v>
      </c>
      <c r="G44" t="s">
        <v>3796</v>
      </c>
    </row>
    <row r="45" spans="2:17" x14ac:dyDescent="0.3">
      <c r="B45" s="269" t="s">
        <v>1316</v>
      </c>
      <c r="C45" s="268">
        <f>SUMIF(BTS_매출관리!C:C,B45,BTS_매출관리!I:I)</f>
        <v>2530000</v>
      </c>
      <c r="D45" s="269">
        <f t="shared" si="0"/>
        <v>9</v>
      </c>
      <c r="F45" t="s">
        <v>3785</v>
      </c>
      <c r="G45" t="s">
        <v>3796</v>
      </c>
      <c r="M45">
        <v>17</v>
      </c>
    </row>
    <row r="46" spans="2:17" x14ac:dyDescent="0.3">
      <c r="B46" s="269" t="s">
        <v>3147</v>
      </c>
      <c r="C46" s="268">
        <f>SUMIF(BTS_매출관리!C:C,B46,BTS_매출관리!I:I)</f>
        <v>0</v>
      </c>
      <c r="D46" s="269">
        <f t="shared" si="0"/>
        <v>39</v>
      </c>
      <c r="F46" t="s">
        <v>3798</v>
      </c>
      <c r="G46" t="s">
        <v>3796</v>
      </c>
    </row>
    <row r="47" spans="2:17" x14ac:dyDescent="0.3">
      <c r="B47" s="269" t="s">
        <v>1886</v>
      </c>
      <c r="C47" s="268">
        <f>SUMIF(BTS_매출관리!C:C,B47,BTS_매출관리!I:I)</f>
        <v>0</v>
      </c>
      <c r="D47" s="269">
        <f t="shared" si="0"/>
        <v>39</v>
      </c>
      <c r="F47" s="58" t="s">
        <v>1035</v>
      </c>
      <c r="G47" t="s">
        <v>3796</v>
      </c>
      <c r="K47" t="s">
        <v>3796</v>
      </c>
      <c r="L47">
        <f>COUNTIF(G22:G49,"스팸")</f>
        <v>17</v>
      </c>
    </row>
    <row r="48" spans="2:17" x14ac:dyDescent="0.3">
      <c r="B48" s="269" t="s">
        <v>1336</v>
      </c>
      <c r="C48" s="268">
        <f>SUMIF(BTS_매출관리!C:C,B48,BTS_매출관리!I:I)</f>
        <v>0</v>
      </c>
      <c r="D48" s="269">
        <f t="shared" si="0"/>
        <v>39</v>
      </c>
      <c r="F48" s="58" t="s">
        <v>1353</v>
      </c>
      <c r="G48" t="s">
        <v>3802</v>
      </c>
      <c r="K48" t="s">
        <v>3802</v>
      </c>
      <c r="L48">
        <f>COUNTIF(G22:G49,"반반")</f>
        <v>10</v>
      </c>
    </row>
    <row r="49" spans="2:7" x14ac:dyDescent="0.3">
      <c r="B49" s="58" t="s">
        <v>1294</v>
      </c>
      <c r="C49" s="301">
        <f>SUMIF(BTS_매출관리!C:C,B49,BTS_매출관리!I:I)</f>
        <v>0</v>
      </c>
      <c r="D49" s="58">
        <f t="shared" si="0"/>
        <v>39</v>
      </c>
      <c r="F49" t="s">
        <v>1317</v>
      </c>
      <c r="G49" t="s">
        <v>3802</v>
      </c>
    </row>
    <row r="50" spans="2:7" x14ac:dyDescent="0.3">
      <c r="B50" s="269" t="s">
        <v>1291</v>
      </c>
      <c r="C50" s="268">
        <f>SUMIF(BTS_매출관리!C:C,B50,BTS_매출관리!I:I)</f>
        <v>330000</v>
      </c>
      <c r="D50" s="269">
        <f t="shared" si="0"/>
        <v>36</v>
      </c>
    </row>
    <row r="51" spans="2:7" x14ac:dyDescent="0.3">
      <c r="B51" s="269" t="s">
        <v>1315</v>
      </c>
      <c r="C51" s="268">
        <f>SUMIF(BTS_매출관리!C:C,B51,BTS_매출관리!I:I)</f>
        <v>550000</v>
      </c>
      <c r="D51" s="269">
        <f t="shared" si="0"/>
        <v>31</v>
      </c>
    </row>
    <row r="52" spans="2:7" x14ac:dyDescent="0.3">
      <c r="B52" t="s">
        <v>3264</v>
      </c>
      <c r="C52" s="300">
        <f>SUMIF(BTS_매출관리!C:C,B52,BTS_매출관리!I:I)</f>
        <v>0</v>
      </c>
      <c r="D52">
        <f t="shared" si="0"/>
        <v>39</v>
      </c>
    </row>
    <row r="53" spans="2:7" x14ac:dyDescent="0.3">
      <c r="B53" t="s">
        <v>2483</v>
      </c>
      <c r="C53" s="300">
        <f>SUMIF(BTS_매출관리!C:C,B53,BTS_매출관리!I:I)</f>
        <v>0</v>
      </c>
      <c r="D53">
        <f t="shared" si="0"/>
        <v>39</v>
      </c>
    </row>
    <row r="54" spans="2:7" x14ac:dyDescent="0.3">
      <c r="B54" t="s">
        <v>1351</v>
      </c>
      <c r="C54" s="300">
        <f>SUMIF(BTS_매출관리!C:C,B54,BTS_매출관리!I:I)</f>
        <v>0</v>
      </c>
      <c r="D54">
        <f t="shared" si="0"/>
        <v>39</v>
      </c>
    </row>
    <row r="55" spans="2:7" x14ac:dyDescent="0.3">
      <c r="B55" t="s">
        <v>2700</v>
      </c>
      <c r="C55" s="52">
        <f>SUMIF(BTS_매출관리!C:C,B55,BTS_매출관리!I:I)</f>
        <v>0</v>
      </c>
      <c r="D55">
        <f t="shared" si="0"/>
        <v>39</v>
      </c>
    </row>
    <row r="56" spans="2:7" x14ac:dyDescent="0.3">
      <c r="B56" s="47" t="s">
        <v>1018</v>
      </c>
      <c r="C56" s="302">
        <f>SUMIF(BTS_매출관리!C:C,B56,BTS_매출관리!I:I)</f>
        <v>3339000</v>
      </c>
      <c r="D56" s="47">
        <f t="shared" si="0"/>
        <v>4</v>
      </c>
    </row>
    <row r="57" spans="2:7" x14ac:dyDescent="0.3">
      <c r="B57" s="47" t="s">
        <v>1780</v>
      </c>
      <c r="C57" s="302">
        <f>SUMIF(BTS_매출관리!C:C,B57,BTS_매출관리!I:I)</f>
        <v>1900000</v>
      </c>
      <c r="D57" s="47">
        <f t="shared" si="0"/>
        <v>13</v>
      </c>
    </row>
    <row r="58" spans="2:7" x14ac:dyDescent="0.3">
      <c r="B58" s="47" t="s">
        <v>2468</v>
      </c>
      <c r="C58" s="302">
        <f>SUMIF(BTS_매출관리!C:C,B58,BTS_매출관리!I:I)</f>
        <v>0</v>
      </c>
      <c r="D58" s="47">
        <f t="shared" si="0"/>
        <v>39</v>
      </c>
    </row>
    <row r="59" spans="2:7" x14ac:dyDescent="0.3">
      <c r="B59" s="47" t="s">
        <v>1313</v>
      </c>
      <c r="C59" s="302">
        <f>SUMIF(BTS_매출관리!C:C,B59,BTS_매출관리!I:I)</f>
        <v>0</v>
      </c>
      <c r="D59" s="47">
        <f t="shared" si="0"/>
        <v>39</v>
      </c>
    </row>
    <row r="60" spans="2:7" x14ac:dyDescent="0.3">
      <c r="B60" s="47" t="s">
        <v>1303</v>
      </c>
      <c r="C60" s="302">
        <f>SUMIF(BTS_매출관리!C:C,B60,BTS_매출관리!I:I)</f>
        <v>850000</v>
      </c>
      <c r="D60" s="47">
        <f t="shared" si="0"/>
        <v>27</v>
      </c>
    </row>
    <row r="61" spans="2:7" x14ac:dyDescent="0.3">
      <c r="B61" s="47" t="s">
        <v>1342</v>
      </c>
      <c r="C61" s="302">
        <f>SUMIF(BTS_매출관리!C:C,B61,BTS_매출관리!I:I)</f>
        <v>0</v>
      </c>
      <c r="D61" s="47">
        <f t="shared" si="0"/>
        <v>39</v>
      </c>
    </row>
    <row r="62" spans="2:7" x14ac:dyDescent="0.3">
      <c r="B62" s="47" t="s">
        <v>1267</v>
      </c>
      <c r="C62" s="302">
        <f>SUMIF(BTS_매출관리!C:C,B62,BTS_매출관리!I:I)</f>
        <v>0</v>
      </c>
      <c r="D62" s="47">
        <f t="shared" si="0"/>
        <v>39</v>
      </c>
    </row>
    <row r="63" spans="2:7" x14ac:dyDescent="0.3">
      <c r="B63" s="47" t="s">
        <v>2912</v>
      </c>
      <c r="C63" s="302">
        <f>SUMIF(BTS_매출관리!C:C,B63,BTS_매출관리!I:I)</f>
        <v>1600000</v>
      </c>
      <c r="D63" s="47">
        <f t="shared" si="0"/>
        <v>18</v>
      </c>
    </row>
    <row r="64" spans="2:7" x14ac:dyDescent="0.3">
      <c r="B64" s="47" t="s">
        <v>1613</v>
      </c>
      <c r="C64" s="302">
        <f>SUMIF(BTS_매출관리!C:C,B64,BTS_매출관리!I:I)</f>
        <v>0</v>
      </c>
      <c r="D64" s="47">
        <f t="shared" si="0"/>
        <v>39</v>
      </c>
    </row>
    <row r="65" spans="2:4" x14ac:dyDescent="0.3">
      <c r="B65" s="47" t="s">
        <v>1341</v>
      </c>
      <c r="C65" s="302">
        <f>SUMIF(BTS_매출관리!C:C,B65,BTS_매출관리!I:I)</f>
        <v>0</v>
      </c>
      <c r="D65" s="47">
        <f t="shared" si="0"/>
        <v>39</v>
      </c>
    </row>
    <row r="66" spans="2:4" x14ac:dyDescent="0.3">
      <c r="B66" s="47" t="s">
        <v>1284</v>
      </c>
      <c r="C66" s="302">
        <f>SUMIF(BTS_매출관리!C:C,B66,BTS_매출관리!I:I)</f>
        <v>0</v>
      </c>
      <c r="D66" s="47">
        <f t="shared" ref="D66:D129" si="1">RANK(C66,C:C,0)</f>
        <v>39</v>
      </c>
    </row>
    <row r="67" spans="2:4" x14ac:dyDescent="0.3">
      <c r="B67" s="47" t="s">
        <v>1353</v>
      </c>
      <c r="C67" s="302">
        <f>SUMIF(BTS_매출관리!C:C,B67,BTS_매출관리!I:I)</f>
        <v>1500000</v>
      </c>
      <c r="D67" s="47">
        <f t="shared" si="1"/>
        <v>20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39</v>
      </c>
    </row>
    <row r="69" spans="2:4" x14ac:dyDescent="0.3">
      <c r="B69" s="47" t="s">
        <v>1299</v>
      </c>
      <c r="C69" s="302">
        <f>SUMIF(BTS_매출관리!C:C,B69,BTS_매출관리!I:I)</f>
        <v>1600000</v>
      </c>
      <c r="D69" s="47">
        <f t="shared" si="1"/>
        <v>18</v>
      </c>
    </row>
    <row r="70" spans="2:4" x14ac:dyDescent="0.3">
      <c r="B70" s="47" t="s">
        <v>1280</v>
      </c>
      <c r="C70" s="302">
        <f>SUMIF(BTS_매출관리!C:C,B70,BTS_매출관리!I:I)</f>
        <v>0</v>
      </c>
      <c r="D70" s="47">
        <f t="shared" si="1"/>
        <v>39</v>
      </c>
    </row>
    <row r="71" spans="2:4" x14ac:dyDescent="0.3">
      <c r="B71" s="47" t="s">
        <v>1295</v>
      </c>
      <c r="C71" s="302">
        <f>SUMIF(BTS_매출관리!C:C,B71,BTS_매출관리!I:I)</f>
        <v>0</v>
      </c>
      <c r="D71" s="47">
        <f t="shared" si="1"/>
        <v>39</v>
      </c>
    </row>
    <row r="72" spans="2:4" x14ac:dyDescent="0.3">
      <c r="B72" s="47" t="s">
        <v>2861</v>
      </c>
      <c r="C72" s="302">
        <f>SUMIF(BTS_매출관리!C:C,B72,BTS_매출관리!I:I)</f>
        <v>0</v>
      </c>
      <c r="D72" s="47">
        <f t="shared" si="1"/>
        <v>39</v>
      </c>
    </row>
    <row r="73" spans="2:4" x14ac:dyDescent="0.3">
      <c r="B73" s="47" t="s">
        <v>1352</v>
      </c>
      <c r="C73" s="302">
        <f>SUMIF(BTS_매출관리!C:C,B73,BTS_매출관리!I:I)</f>
        <v>0</v>
      </c>
      <c r="D73" s="47">
        <f t="shared" si="1"/>
        <v>39</v>
      </c>
    </row>
    <row r="74" spans="2:4" x14ac:dyDescent="0.3">
      <c r="B74" s="47" t="s">
        <v>1355</v>
      </c>
      <c r="C74" s="302">
        <f>SUMIF(BTS_매출관리!C:C,B74,BTS_매출관리!I:I)</f>
        <v>0</v>
      </c>
      <c r="D74" s="47">
        <f t="shared" si="1"/>
        <v>39</v>
      </c>
    </row>
    <row r="75" spans="2:4" x14ac:dyDescent="0.3">
      <c r="B75" s="47" t="s">
        <v>3285</v>
      </c>
      <c r="C75" s="302">
        <f>SUMIF(BTS_매출관리!C:C,B75,BTS_매출관리!I:I)</f>
        <v>3000000</v>
      </c>
      <c r="D75" s="47">
        <f t="shared" si="1"/>
        <v>6</v>
      </c>
    </row>
    <row r="76" spans="2:4" x14ac:dyDescent="0.3">
      <c r="B76" t="s">
        <v>2856</v>
      </c>
      <c r="C76" s="52">
        <f>SUMIF(BTS_매출관리!C:C,B76,BTS_매출관리!I:I)</f>
        <v>0</v>
      </c>
      <c r="D76">
        <f t="shared" si="1"/>
        <v>39</v>
      </c>
    </row>
    <row r="77" spans="2:4" x14ac:dyDescent="0.3">
      <c r="B77" t="s">
        <v>2279</v>
      </c>
      <c r="C77" s="52">
        <f>SUMIF(BTS_매출관리!C:C,B77,BTS_매출관리!I:I)</f>
        <v>0</v>
      </c>
      <c r="D77">
        <f t="shared" si="1"/>
        <v>39</v>
      </c>
    </row>
    <row r="78" spans="2:4" x14ac:dyDescent="0.3">
      <c r="B78" t="s">
        <v>1347</v>
      </c>
      <c r="C78" s="52">
        <f>SUMIF(BTS_매출관리!C:C,B78,BTS_매출관리!I:I)</f>
        <v>0</v>
      </c>
      <c r="D78">
        <f t="shared" si="1"/>
        <v>39</v>
      </c>
    </row>
    <row r="79" spans="2:4" x14ac:dyDescent="0.3">
      <c r="B79" t="s">
        <v>1317</v>
      </c>
      <c r="C79" s="52">
        <f>SUMIF(BTS_매출관리!C:C,B79,BTS_매출관리!I:I)</f>
        <v>0</v>
      </c>
      <c r="D79">
        <f t="shared" si="1"/>
        <v>39</v>
      </c>
    </row>
    <row r="80" spans="2:4" x14ac:dyDescent="0.3">
      <c r="B80" t="s">
        <v>3116</v>
      </c>
      <c r="C80" s="52">
        <f>SUMIF(BTS_매출관리!C:C,B80,BTS_매출관리!I:I)</f>
        <v>0</v>
      </c>
      <c r="D80">
        <f t="shared" si="1"/>
        <v>39</v>
      </c>
    </row>
    <row r="81" spans="2:4" x14ac:dyDescent="0.3">
      <c r="B81" t="s">
        <v>2371</v>
      </c>
      <c r="C81" s="52">
        <f>SUMIF(BTS_매출관리!C:C,B81,BTS_매출관리!I:I)</f>
        <v>0</v>
      </c>
      <c r="D81">
        <f t="shared" si="1"/>
        <v>39</v>
      </c>
    </row>
    <row r="82" spans="2:4" x14ac:dyDescent="0.3">
      <c r="B82" t="s">
        <v>1607</v>
      </c>
      <c r="C82" s="300">
        <f>SUMIF(BTS_매출관리!C:C,B82,BTS_매출관리!I:I)</f>
        <v>0</v>
      </c>
      <c r="D82">
        <f t="shared" si="1"/>
        <v>39</v>
      </c>
    </row>
    <row r="83" spans="2:4" x14ac:dyDescent="0.3">
      <c r="B83" t="s">
        <v>2753</v>
      </c>
      <c r="C83" s="52">
        <f>SUMIF(BTS_매출관리!C:C,B83,BTS_매출관리!I:I)</f>
        <v>500000</v>
      </c>
      <c r="D83">
        <f t="shared" si="1"/>
        <v>32</v>
      </c>
    </row>
    <row r="84" spans="2:4" x14ac:dyDescent="0.3">
      <c r="B84" t="s">
        <v>1567</v>
      </c>
      <c r="C84" s="300">
        <f>SUMIF(BTS_매출관리!C:C,B84,BTS_매출관리!I:I)</f>
        <v>0</v>
      </c>
      <c r="D84">
        <f t="shared" si="1"/>
        <v>39</v>
      </c>
    </row>
    <row r="85" spans="2:4" x14ac:dyDescent="0.3">
      <c r="B85" t="s">
        <v>3538</v>
      </c>
      <c r="C85" s="52">
        <f>SUMIF(BTS_매출관리!C:C,B85,BTS_매출관리!I:I)</f>
        <v>0</v>
      </c>
      <c r="D85">
        <f t="shared" si="1"/>
        <v>39</v>
      </c>
    </row>
    <row r="86" spans="2:4" x14ac:dyDescent="0.3">
      <c r="B86" t="s">
        <v>1324</v>
      </c>
      <c r="C86" s="52">
        <f>SUMIF(BTS_매출관리!C:C,B86,BTS_매출관리!I:I)</f>
        <v>0</v>
      </c>
      <c r="D86">
        <f t="shared" si="1"/>
        <v>39</v>
      </c>
    </row>
    <row r="87" spans="2:4" x14ac:dyDescent="0.3">
      <c r="B87" t="s">
        <v>1900</v>
      </c>
      <c r="C87" s="300">
        <f>SUMIF(BTS_매출관리!C:C,B87,BTS_매출관리!I:I)</f>
        <v>2750000</v>
      </c>
      <c r="D87">
        <f t="shared" si="1"/>
        <v>8</v>
      </c>
    </row>
    <row r="88" spans="2:4" x14ac:dyDescent="0.3">
      <c r="B88" t="s">
        <v>2254</v>
      </c>
      <c r="C88" s="52">
        <f>SUMIF(BTS_매출관리!C:C,B88,BTS_매출관리!I:I)</f>
        <v>0</v>
      </c>
      <c r="D88">
        <f t="shared" si="1"/>
        <v>39</v>
      </c>
    </row>
    <row r="89" spans="2:4" x14ac:dyDescent="0.3">
      <c r="B89" t="s">
        <v>1279</v>
      </c>
      <c r="C89" s="300">
        <f>SUMIF(BTS_매출관리!C:C,B89,BTS_매출관리!I:I)</f>
        <v>0</v>
      </c>
      <c r="D89">
        <f t="shared" si="1"/>
        <v>39</v>
      </c>
    </row>
    <row r="90" spans="2:4" x14ac:dyDescent="0.3">
      <c r="B90" t="s">
        <v>2865</v>
      </c>
      <c r="C90" s="52">
        <f>SUMIF(BTS_매출관리!C:C,B90,BTS_매출관리!I:I)</f>
        <v>1320000</v>
      </c>
      <c r="D90">
        <f t="shared" si="1"/>
        <v>22</v>
      </c>
    </row>
    <row r="91" spans="2:4" x14ac:dyDescent="0.3">
      <c r="B91" t="s">
        <v>2361</v>
      </c>
      <c r="C91" s="52">
        <f>SUMIF(BTS_매출관리!C:C,B91,BTS_매출관리!I:I)</f>
        <v>1200000</v>
      </c>
      <c r="D91">
        <f t="shared" si="1"/>
        <v>25</v>
      </c>
    </row>
    <row r="92" spans="2:4" x14ac:dyDescent="0.3">
      <c r="B92" t="s">
        <v>1335</v>
      </c>
      <c r="C92" s="52">
        <f>SUMIF(BTS_매출관리!C:C,B92,BTS_매출관리!I:I)</f>
        <v>0</v>
      </c>
      <c r="D92">
        <f t="shared" si="1"/>
        <v>39</v>
      </c>
    </row>
    <row r="93" spans="2:4" x14ac:dyDescent="0.3">
      <c r="B93" t="s">
        <v>2886</v>
      </c>
      <c r="C93" s="52">
        <f>SUMIF(BTS_매출관리!C:C,B93,BTS_매출관리!I:I)</f>
        <v>0</v>
      </c>
      <c r="D93">
        <f t="shared" si="1"/>
        <v>39</v>
      </c>
    </row>
    <row r="94" spans="2:4" x14ac:dyDescent="0.3">
      <c r="B94" t="s">
        <v>1301</v>
      </c>
      <c r="C94" s="300">
        <f>SUMIF(BTS_매출관리!C:C,B94,BTS_매출관리!I:I)</f>
        <v>0</v>
      </c>
      <c r="D94">
        <f t="shared" si="1"/>
        <v>39</v>
      </c>
    </row>
    <row r="95" spans="2:4" x14ac:dyDescent="0.3">
      <c r="B95" t="s">
        <v>1227</v>
      </c>
      <c r="C95" s="52">
        <f>SUMIF(BTS_매출관리!C:C,B95,BTS_매출관리!I:I)</f>
        <v>1650000</v>
      </c>
      <c r="D95">
        <f t="shared" si="1"/>
        <v>17</v>
      </c>
    </row>
    <row r="96" spans="2:4" x14ac:dyDescent="0.3">
      <c r="B96" t="s">
        <v>1288</v>
      </c>
      <c r="C96" s="300">
        <f>SUMIF(BTS_매출관리!C:C,B96,BTS_매출관리!I:I)</f>
        <v>0</v>
      </c>
      <c r="D96">
        <f t="shared" si="1"/>
        <v>39</v>
      </c>
    </row>
    <row r="97" spans="2:4" x14ac:dyDescent="0.3">
      <c r="B97" t="s">
        <v>2303</v>
      </c>
      <c r="C97" s="52">
        <f>SUMIF(BTS_매출관리!C:C,B97,BTS_매출관리!I:I)</f>
        <v>0</v>
      </c>
      <c r="D97">
        <f t="shared" si="1"/>
        <v>39</v>
      </c>
    </row>
    <row r="98" spans="2:4" x14ac:dyDescent="0.3">
      <c r="B98" t="s">
        <v>2013</v>
      </c>
      <c r="C98" s="52">
        <f>SUMIF(BTS_매출관리!C:C,B98,BTS_매출관리!I:I)</f>
        <v>450000</v>
      </c>
      <c r="D98">
        <f t="shared" si="1"/>
        <v>33</v>
      </c>
    </row>
    <row r="99" spans="2:4" x14ac:dyDescent="0.3">
      <c r="B99" t="s">
        <v>1271</v>
      </c>
      <c r="C99" s="300">
        <f>SUMIF(BTS_매출관리!C:C,B99,BTS_매출관리!I:I)</f>
        <v>0</v>
      </c>
      <c r="D99">
        <f t="shared" si="1"/>
        <v>39</v>
      </c>
    </row>
    <row r="100" spans="2:4" x14ac:dyDescent="0.3">
      <c r="B100" t="s">
        <v>2785</v>
      </c>
      <c r="C100" s="52">
        <f>SUMIF(BTS_매출관리!C:C,B100,BTS_매출관리!I:I)</f>
        <v>0</v>
      </c>
      <c r="D100">
        <f t="shared" si="1"/>
        <v>39</v>
      </c>
    </row>
    <row r="101" spans="2:4" x14ac:dyDescent="0.3">
      <c r="B101" t="s">
        <v>1290</v>
      </c>
      <c r="C101" s="300">
        <f>SUMIF(BTS_매출관리!C:C,B101,BTS_매출관리!I:I)</f>
        <v>0</v>
      </c>
      <c r="D101">
        <f t="shared" si="1"/>
        <v>39</v>
      </c>
    </row>
    <row r="102" spans="2:4" x14ac:dyDescent="0.3">
      <c r="B102" t="s">
        <v>2758</v>
      </c>
      <c r="C102" s="52">
        <f>SUMIF(BTS_매출관리!C:C,B102,BTS_매출관리!I:I)</f>
        <v>0</v>
      </c>
      <c r="D102">
        <f t="shared" si="1"/>
        <v>39</v>
      </c>
    </row>
    <row r="103" spans="2:4" x14ac:dyDescent="0.3">
      <c r="B103" t="s">
        <v>2892</v>
      </c>
      <c r="C103" s="52">
        <f>SUMIF(BTS_매출관리!C:C,B103,BTS_매출관리!I:I)</f>
        <v>0</v>
      </c>
      <c r="D103">
        <f t="shared" si="1"/>
        <v>39</v>
      </c>
    </row>
    <row r="104" spans="2:4" x14ac:dyDescent="0.3">
      <c r="B104" t="s">
        <v>2738</v>
      </c>
      <c r="C104" s="52">
        <f>SUMIF(BTS_매출관리!C:C,B104,BTS_매출관리!I:I)</f>
        <v>0</v>
      </c>
      <c r="D104">
        <f t="shared" si="1"/>
        <v>39</v>
      </c>
    </row>
    <row r="105" spans="2:4" x14ac:dyDescent="0.3">
      <c r="B105" t="s">
        <v>2091</v>
      </c>
      <c r="C105" s="52">
        <f>SUMIF(BTS_매출관리!C:C,B105,BTS_매출관리!I:I)</f>
        <v>0</v>
      </c>
      <c r="D105">
        <f t="shared" si="1"/>
        <v>39</v>
      </c>
    </row>
    <row r="106" spans="2:4" x14ac:dyDescent="0.3">
      <c r="B106" t="s">
        <v>1281</v>
      </c>
      <c r="C106" s="300">
        <f>SUMIF(BTS_매출관리!C:C,B106,BTS_매출관리!I:I)</f>
        <v>0</v>
      </c>
      <c r="D106">
        <f t="shared" si="1"/>
        <v>39</v>
      </c>
    </row>
    <row r="107" spans="2:4" x14ac:dyDescent="0.3">
      <c r="B107" t="s">
        <v>2765</v>
      </c>
      <c r="C107" s="52">
        <f>SUMIF(BTS_매출관리!C:C,B107,BTS_매출관리!I:I)</f>
        <v>715000</v>
      </c>
      <c r="D107">
        <f t="shared" si="1"/>
        <v>28</v>
      </c>
    </row>
    <row r="108" spans="2:4" x14ac:dyDescent="0.3">
      <c r="B108" t="s">
        <v>2931</v>
      </c>
      <c r="C108" s="52">
        <f>SUMIF(BTS_매출관리!C:C,B108,BTS_매출관리!I:I)</f>
        <v>0</v>
      </c>
      <c r="D108">
        <f t="shared" si="1"/>
        <v>39</v>
      </c>
    </row>
    <row r="109" spans="2:4" x14ac:dyDescent="0.3">
      <c r="B109" t="s">
        <v>3025</v>
      </c>
      <c r="C109" s="52">
        <f>SUMIF(BTS_매출관리!C:C,B109,BTS_매출관리!I:I)</f>
        <v>0</v>
      </c>
      <c r="D109">
        <f t="shared" si="1"/>
        <v>39</v>
      </c>
    </row>
    <row r="110" spans="2:4" x14ac:dyDescent="0.3">
      <c r="B110" t="s">
        <v>2938</v>
      </c>
      <c r="C110" s="52">
        <f>SUMIF(BTS_매출관리!C:C,B110,BTS_매출관리!I:I)</f>
        <v>0</v>
      </c>
      <c r="D110">
        <f t="shared" si="1"/>
        <v>39</v>
      </c>
    </row>
    <row r="111" spans="2:4" x14ac:dyDescent="0.3">
      <c r="B111" t="s">
        <v>2129</v>
      </c>
      <c r="C111" s="52">
        <f>SUMIF(BTS_매출관리!C:C,B111,BTS_매출관리!I:I)</f>
        <v>0</v>
      </c>
      <c r="D111">
        <f t="shared" si="1"/>
        <v>39</v>
      </c>
    </row>
    <row r="112" spans="2:4" x14ac:dyDescent="0.3">
      <c r="B112" t="s">
        <v>2144</v>
      </c>
      <c r="C112" s="52">
        <f>SUMIF(BTS_매출관리!C:C,B112,BTS_매출관리!I:I)</f>
        <v>0</v>
      </c>
      <c r="D112">
        <f t="shared" si="1"/>
        <v>39</v>
      </c>
    </row>
    <row r="113" spans="2:4" x14ac:dyDescent="0.3">
      <c r="B113" t="s">
        <v>2035</v>
      </c>
      <c r="C113" s="52">
        <f>SUMIF(BTS_매출관리!C:C,B113,BTS_매출관리!I:I)</f>
        <v>0</v>
      </c>
      <c r="D113">
        <f t="shared" si="1"/>
        <v>39</v>
      </c>
    </row>
    <row r="114" spans="2:4" x14ac:dyDescent="0.3">
      <c r="B114" t="s">
        <v>1234</v>
      </c>
      <c r="C114" s="52">
        <f>SUMIF(BTS_매출관리!C:C,B114,BTS_매출관리!I:I)</f>
        <v>1320000</v>
      </c>
      <c r="D114">
        <f t="shared" si="1"/>
        <v>22</v>
      </c>
    </row>
    <row r="115" spans="2:4" x14ac:dyDescent="0.3">
      <c r="B115" t="s">
        <v>1325</v>
      </c>
      <c r="C115" s="52">
        <f>SUMIF(BTS_매출관리!C:C,B115,BTS_매출관리!I:I)</f>
        <v>2500000</v>
      </c>
      <c r="D115">
        <f t="shared" si="1"/>
        <v>10</v>
      </c>
    </row>
    <row r="116" spans="2:4" x14ac:dyDescent="0.3">
      <c r="B116" t="s">
        <v>1356</v>
      </c>
      <c r="C116" s="52">
        <f>SUMIF(BTS_매출관리!C:C,B116,BTS_매출관리!I:I)</f>
        <v>0</v>
      </c>
      <c r="D116">
        <f t="shared" si="1"/>
        <v>39</v>
      </c>
    </row>
    <row r="117" spans="2:4" x14ac:dyDescent="0.3">
      <c r="B117" t="s">
        <v>3183</v>
      </c>
      <c r="C117" s="52">
        <f>SUMIF(BTS_매출관리!C:C,B117,BTS_매출관리!I:I)</f>
        <v>0</v>
      </c>
      <c r="D117">
        <f t="shared" si="1"/>
        <v>39</v>
      </c>
    </row>
    <row r="118" spans="2:4" x14ac:dyDescent="0.3">
      <c r="B118" t="s">
        <v>1654</v>
      </c>
      <c r="C118" s="52">
        <f>SUMIF(BTS_매출관리!C:C,B118,BTS_매출관리!I:I)</f>
        <v>0</v>
      </c>
      <c r="D118">
        <f t="shared" si="1"/>
        <v>39</v>
      </c>
    </row>
    <row r="119" spans="2:4" x14ac:dyDescent="0.3">
      <c r="B119" t="s">
        <v>1312</v>
      </c>
      <c r="C119" s="52">
        <f>SUMIF(BTS_매출관리!C:C,B119,BTS_매출관리!I:I)</f>
        <v>0</v>
      </c>
      <c r="D119">
        <f t="shared" si="1"/>
        <v>39</v>
      </c>
    </row>
    <row r="120" spans="2:4" x14ac:dyDescent="0.3">
      <c r="B120" t="s">
        <v>1274</v>
      </c>
      <c r="C120" s="300">
        <f>SUMIF(BTS_매출관리!C:C,B120,BTS_매출관리!I:I)</f>
        <v>0</v>
      </c>
      <c r="D120">
        <f t="shared" si="1"/>
        <v>39</v>
      </c>
    </row>
    <row r="121" spans="2:4" x14ac:dyDescent="0.3">
      <c r="B121" t="s">
        <v>2588</v>
      </c>
      <c r="C121" s="300">
        <f>SUMIF(BTS_매출관리!C:C,B121,BTS_매출관리!I:I)</f>
        <v>300000</v>
      </c>
      <c r="D121">
        <f t="shared" si="1"/>
        <v>37</v>
      </c>
    </row>
    <row r="122" spans="2:4" x14ac:dyDescent="0.3">
      <c r="B122" t="s">
        <v>1304</v>
      </c>
      <c r="C122" s="300">
        <f>SUMIF(BTS_매출관리!C:C,B122,BTS_매출관리!I:I)</f>
        <v>0</v>
      </c>
      <c r="D122">
        <f t="shared" si="1"/>
        <v>39</v>
      </c>
    </row>
    <row r="123" spans="2:4" x14ac:dyDescent="0.3">
      <c r="B123" t="s">
        <v>3073</v>
      </c>
      <c r="C123" s="52">
        <f>SUMIF(BTS_매출관리!C:C,B123,BTS_매출관리!I:I)</f>
        <v>0</v>
      </c>
      <c r="D123">
        <f t="shared" si="1"/>
        <v>39</v>
      </c>
    </row>
    <row r="124" spans="2:4" x14ac:dyDescent="0.3">
      <c r="B124" t="s">
        <v>1344</v>
      </c>
      <c r="C124" s="52">
        <f>SUMIF(BTS_매출관리!C:C,B124,BTS_매출관리!I:I)</f>
        <v>0</v>
      </c>
      <c r="D124">
        <f t="shared" si="1"/>
        <v>39</v>
      </c>
    </row>
    <row r="125" spans="2:4" x14ac:dyDescent="0.3">
      <c r="B125" t="s">
        <v>1318</v>
      </c>
      <c r="C125" s="52">
        <f>SUMIF(BTS_매출관리!C:C,B125,BTS_매출관리!I:I)</f>
        <v>0</v>
      </c>
      <c r="D125">
        <f t="shared" si="1"/>
        <v>39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39</v>
      </c>
    </row>
    <row r="127" spans="2:4" x14ac:dyDescent="0.3">
      <c r="B127" t="s">
        <v>2030</v>
      </c>
      <c r="C127" s="52">
        <f>SUMIF(BTS_매출관리!C:C,B127,BTS_매출관리!I:I)</f>
        <v>0</v>
      </c>
      <c r="D127">
        <f t="shared" si="1"/>
        <v>39</v>
      </c>
    </row>
    <row r="128" spans="2:4" x14ac:dyDescent="0.3">
      <c r="B128" t="s">
        <v>3457</v>
      </c>
      <c r="C128" s="52">
        <f>SUMIF(BTS_매출관리!C:C,B128,BTS_매출관리!I:I)</f>
        <v>0</v>
      </c>
      <c r="D128">
        <f t="shared" si="1"/>
        <v>39</v>
      </c>
    </row>
    <row r="129" spans="2:4" x14ac:dyDescent="0.3">
      <c r="B129" t="s">
        <v>2869</v>
      </c>
      <c r="C129" s="52">
        <f>SUMIF(BTS_매출관리!C:C,B129,BTS_매출관리!I:I)</f>
        <v>0</v>
      </c>
      <c r="D129">
        <f t="shared" si="1"/>
        <v>39</v>
      </c>
    </row>
    <row r="130" spans="2:4" x14ac:dyDescent="0.3">
      <c r="B130" t="s">
        <v>3017</v>
      </c>
      <c r="C130" s="52">
        <f>SUMIF(BTS_매출관리!C:C,B130,BTS_매출관리!I:I)</f>
        <v>0</v>
      </c>
      <c r="D130">
        <f t="shared" ref="D130:D193" si="2">RANK(C130,C:C,0)</f>
        <v>39</v>
      </c>
    </row>
    <row r="131" spans="2:4" x14ac:dyDescent="0.3">
      <c r="B131" t="s">
        <v>3569</v>
      </c>
      <c r="C131" s="52">
        <f>SUMIF(BTS_매출관리!C:C,B131,BTS_매출관리!I:I)</f>
        <v>0</v>
      </c>
      <c r="D131">
        <f t="shared" si="2"/>
        <v>39</v>
      </c>
    </row>
    <row r="132" spans="2:4" x14ac:dyDescent="0.3">
      <c r="B132" t="s">
        <v>1319</v>
      </c>
      <c r="C132" s="52">
        <f>SUMIF(BTS_매출관리!C:C,B132,BTS_매출관리!I:I)</f>
        <v>0</v>
      </c>
      <c r="D132">
        <f t="shared" si="2"/>
        <v>39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39</v>
      </c>
    </row>
    <row r="134" spans="2:4" x14ac:dyDescent="0.3">
      <c r="B134" t="s">
        <v>2805</v>
      </c>
      <c r="C134" s="52">
        <f>SUMIF(BTS_매출관리!C:C,B134,BTS_매출관리!I:I)</f>
        <v>0</v>
      </c>
      <c r="D134">
        <f t="shared" si="2"/>
        <v>39</v>
      </c>
    </row>
    <row r="135" spans="2:4" x14ac:dyDescent="0.3">
      <c r="B135" t="s">
        <v>3205</v>
      </c>
      <c r="C135" s="52">
        <f>SUMIF(BTS_매출관리!C:C,B135,BTS_매출관리!I:I)</f>
        <v>0</v>
      </c>
      <c r="D135">
        <f t="shared" si="2"/>
        <v>39</v>
      </c>
    </row>
    <row r="136" spans="2:4" x14ac:dyDescent="0.3">
      <c r="B136" t="s">
        <v>2377</v>
      </c>
      <c r="C136" s="52">
        <f>SUMIF(BTS_매출관리!C:C,B136,BTS_매출관리!I:I)</f>
        <v>0</v>
      </c>
      <c r="D136">
        <f t="shared" si="2"/>
        <v>39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39</v>
      </c>
    </row>
    <row r="138" spans="2:4" x14ac:dyDescent="0.3">
      <c r="B138" t="s">
        <v>2487</v>
      </c>
      <c r="C138" s="52">
        <f>SUMIF(BTS_매출관리!C:C,B138,BTS_매출관리!I:I)</f>
        <v>0</v>
      </c>
      <c r="D138">
        <f t="shared" si="2"/>
        <v>39</v>
      </c>
    </row>
    <row r="139" spans="2:4" x14ac:dyDescent="0.3">
      <c r="B139" t="s">
        <v>1293</v>
      </c>
      <c r="C139" s="300">
        <f>SUMIF(BTS_매출관리!C:C,B139,BTS_매출관리!I:I)</f>
        <v>0</v>
      </c>
      <c r="D139">
        <f t="shared" si="2"/>
        <v>39</v>
      </c>
    </row>
    <row r="140" spans="2:4" x14ac:dyDescent="0.3">
      <c r="B140" t="s">
        <v>2464</v>
      </c>
      <c r="C140" s="52">
        <f>SUMIF(BTS_매출관리!C:C,B140,BTS_매출관리!I:I)</f>
        <v>220000</v>
      </c>
      <c r="D140">
        <f t="shared" si="2"/>
        <v>38</v>
      </c>
    </row>
    <row r="141" spans="2:4" x14ac:dyDescent="0.3">
      <c r="B141" t="s">
        <v>1310</v>
      </c>
      <c r="C141" s="300">
        <f>SUMIF(BTS_매출관리!C:C,B141,BTS_매출관리!I:I)</f>
        <v>1900000</v>
      </c>
      <c r="D141">
        <f t="shared" si="2"/>
        <v>13</v>
      </c>
    </row>
    <row r="142" spans="2:4" x14ac:dyDescent="0.3">
      <c r="B142" t="s">
        <v>1314</v>
      </c>
      <c r="C142" s="52">
        <f>SUMIF(BTS_매출관리!C:C,B142,BTS_매출관리!I:I)</f>
        <v>0</v>
      </c>
      <c r="D142">
        <f t="shared" si="2"/>
        <v>39</v>
      </c>
    </row>
    <row r="143" spans="2:4" x14ac:dyDescent="0.3">
      <c r="B143" t="s">
        <v>1340</v>
      </c>
      <c r="C143" s="52">
        <f>SUMIF(BTS_매출관리!C:C,B143,BTS_매출관리!I:I)</f>
        <v>0</v>
      </c>
      <c r="D143">
        <f t="shared" si="2"/>
        <v>39</v>
      </c>
    </row>
    <row r="144" spans="2:4" x14ac:dyDescent="0.3">
      <c r="B144" t="s">
        <v>1350</v>
      </c>
      <c r="C144" s="52">
        <f>SUMIF(BTS_매출관리!C:C,B144,BTS_매출관리!I:I)</f>
        <v>0</v>
      </c>
      <c r="D144">
        <f t="shared" si="2"/>
        <v>39</v>
      </c>
    </row>
    <row r="145" spans="2:4" x14ac:dyDescent="0.3">
      <c r="B145" t="s">
        <v>3453</v>
      </c>
      <c r="C145" s="52">
        <f>SUMIF(BTS_매출관리!C:C,B145,BTS_매출관리!I:I)</f>
        <v>0</v>
      </c>
      <c r="D145">
        <f t="shared" si="2"/>
        <v>39</v>
      </c>
    </row>
    <row r="146" spans="2:4" x14ac:dyDescent="0.3">
      <c r="B146" t="s">
        <v>2049</v>
      </c>
      <c r="C146" s="52">
        <f>SUMIF(BTS_매출관리!C:C,B146,BTS_매출관리!I:I)</f>
        <v>1750000</v>
      </c>
      <c r="D146">
        <f t="shared" si="2"/>
        <v>15</v>
      </c>
    </row>
    <row r="147" spans="2:4" x14ac:dyDescent="0.3">
      <c r="B147" t="s">
        <v>3446</v>
      </c>
      <c r="C147" s="52">
        <f>SUMIF(BTS_매출관리!C:C,B147,BTS_매출관리!I:I)</f>
        <v>0</v>
      </c>
      <c r="D147">
        <f t="shared" si="2"/>
        <v>39</v>
      </c>
    </row>
    <row r="148" spans="2:4" x14ac:dyDescent="0.3">
      <c r="B148" t="s">
        <v>3497</v>
      </c>
      <c r="C148" s="52">
        <f>SUMIF(BTS_매출관리!C:C,B148,BTS_매출관리!I:I)</f>
        <v>0</v>
      </c>
      <c r="D148">
        <f t="shared" si="2"/>
        <v>39</v>
      </c>
    </row>
    <row r="149" spans="2:4" x14ac:dyDescent="0.3">
      <c r="B149" t="s">
        <v>2960</v>
      </c>
      <c r="C149" s="52">
        <f>SUMIF(BTS_매출관리!C:C,B149,BTS_매출관리!I:I)</f>
        <v>0</v>
      </c>
      <c r="D149">
        <f t="shared" si="2"/>
        <v>39</v>
      </c>
    </row>
    <row r="150" spans="2:4" x14ac:dyDescent="0.3">
      <c r="B150" t="s">
        <v>3719</v>
      </c>
      <c r="C150" s="52">
        <f>SUMIF(BTS_매출관리!C:C,B150,BTS_매출관리!I:I)</f>
        <v>0</v>
      </c>
      <c r="D150">
        <f t="shared" si="2"/>
        <v>39</v>
      </c>
    </row>
    <row r="151" spans="2:4" x14ac:dyDescent="0.3">
      <c r="B151" t="s">
        <v>2629</v>
      </c>
      <c r="C151" s="52">
        <f>SUMIF(BTS_매출관리!C:C,B151,BTS_매출관리!I:I)</f>
        <v>0</v>
      </c>
      <c r="D151">
        <f t="shared" si="2"/>
        <v>39</v>
      </c>
    </row>
    <row r="152" spans="2:4" x14ac:dyDescent="0.3">
      <c r="B152" t="s">
        <v>2273</v>
      </c>
      <c r="C152" s="52">
        <f>SUMIF(BTS_매출관리!C:C,B152,BTS_매출관리!I:I)</f>
        <v>0</v>
      </c>
      <c r="D152">
        <f t="shared" si="2"/>
        <v>39</v>
      </c>
    </row>
    <row r="153" spans="2:4" x14ac:dyDescent="0.3">
      <c r="B153" t="s">
        <v>3344</v>
      </c>
      <c r="C153" s="52">
        <f>SUMIF(BTS_매출관리!C:C,B153,BTS_매출관리!I:I)</f>
        <v>0</v>
      </c>
      <c r="D153">
        <f t="shared" si="2"/>
        <v>39</v>
      </c>
    </row>
    <row r="154" spans="2:4" x14ac:dyDescent="0.3">
      <c r="B154" t="s">
        <v>1273</v>
      </c>
      <c r="C154" s="300">
        <f>SUMIF(BTS_매출관리!C:C,B154,BTS_매출관리!I:I)</f>
        <v>0</v>
      </c>
      <c r="D154">
        <f t="shared" si="2"/>
        <v>39</v>
      </c>
    </row>
    <row r="155" spans="2:4" x14ac:dyDescent="0.3">
      <c r="B155" t="s">
        <v>1306</v>
      </c>
      <c r="C155" s="300">
        <f>SUMIF(BTS_매출관리!C:C,B155,BTS_매출관리!I:I)</f>
        <v>0</v>
      </c>
      <c r="D155">
        <f t="shared" si="2"/>
        <v>39</v>
      </c>
    </row>
    <row r="156" spans="2:4" x14ac:dyDescent="0.3">
      <c r="B156" t="s">
        <v>3258</v>
      </c>
      <c r="C156" s="52">
        <f>SUMIF(BTS_매출관리!C:C,B156,BTS_매출관리!I:I)</f>
        <v>0</v>
      </c>
      <c r="D156">
        <f t="shared" si="2"/>
        <v>39</v>
      </c>
    </row>
    <row r="157" spans="2:4" x14ac:dyDescent="0.3">
      <c r="B157" t="s">
        <v>1834</v>
      </c>
      <c r="C157" s="52">
        <f>SUMIF(BTS_매출관리!C:C,B157,BTS_매출관리!I:I)</f>
        <v>0</v>
      </c>
      <c r="D157">
        <f t="shared" si="2"/>
        <v>39</v>
      </c>
    </row>
    <row r="158" spans="2:4" x14ac:dyDescent="0.3">
      <c r="B158" t="s">
        <v>2728</v>
      </c>
      <c r="C158" s="52">
        <f>SUMIF(BTS_매출관리!C:C,B158,BTS_매출관리!I:I)</f>
        <v>0</v>
      </c>
      <c r="D158">
        <f t="shared" si="2"/>
        <v>39</v>
      </c>
    </row>
    <row r="159" spans="2:4" x14ac:dyDescent="0.3">
      <c r="B159" t="s">
        <v>3179</v>
      </c>
      <c r="C159" s="52">
        <f>SUMIF(BTS_매출관리!C:C,B159,BTS_매출관리!I:I)</f>
        <v>0</v>
      </c>
      <c r="D159">
        <f t="shared" si="2"/>
        <v>39</v>
      </c>
    </row>
    <row r="160" spans="2:4" x14ac:dyDescent="0.3">
      <c r="B160" t="s">
        <v>1331</v>
      </c>
      <c r="C160" s="52">
        <f>SUMIF(BTS_매출관리!C:C,B160,BTS_매출관리!I:I)</f>
        <v>0</v>
      </c>
      <c r="D160">
        <f t="shared" si="2"/>
        <v>39</v>
      </c>
    </row>
    <row r="161" spans="2:4" x14ac:dyDescent="0.3">
      <c r="B161" t="s">
        <v>1287</v>
      </c>
      <c r="C161" s="52">
        <f>SUMIF(BTS_매출관리!C:C,B161,BTS_매출관리!I:I)</f>
        <v>0</v>
      </c>
      <c r="D161">
        <f t="shared" si="2"/>
        <v>39</v>
      </c>
    </row>
    <row r="162" spans="2:4" x14ac:dyDescent="0.3">
      <c r="B162" t="s">
        <v>1278</v>
      </c>
      <c r="C162" s="52">
        <f>SUMIF(BTS_매출관리!C:C,B162,BTS_매출관리!I:I)</f>
        <v>0</v>
      </c>
      <c r="D162">
        <f t="shared" si="2"/>
        <v>39</v>
      </c>
    </row>
    <row r="163" spans="2:4" x14ac:dyDescent="0.3">
      <c r="B163" t="s">
        <v>1282</v>
      </c>
      <c r="C163" s="52">
        <f>SUMIF(BTS_매출관리!C:C,B163,BTS_매출관리!I:I)</f>
        <v>0</v>
      </c>
      <c r="D163">
        <f t="shared" si="2"/>
        <v>39</v>
      </c>
    </row>
    <row r="164" spans="2:4" x14ac:dyDescent="0.3">
      <c r="B164" t="s">
        <v>1289</v>
      </c>
      <c r="C164" s="52">
        <f>SUMIF(BTS_매출관리!C:C,B164,BTS_매출관리!I:I)</f>
        <v>0</v>
      </c>
      <c r="D164">
        <f t="shared" si="2"/>
        <v>39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39</v>
      </c>
    </row>
    <row r="166" spans="2:4" x14ac:dyDescent="0.3">
      <c r="B166" t="s">
        <v>1296</v>
      </c>
      <c r="C166" s="52">
        <f>SUMIF(BTS_매출관리!C:C,B166,BTS_매출관리!I:I)</f>
        <v>0</v>
      </c>
      <c r="D166">
        <f t="shared" si="2"/>
        <v>39</v>
      </c>
    </row>
    <row r="167" spans="2:4" x14ac:dyDescent="0.3">
      <c r="B167" t="s">
        <v>1300</v>
      </c>
      <c r="C167" s="52">
        <f>SUMIF(BTS_매출관리!C:C,B167,BTS_매출관리!I:I)</f>
        <v>0</v>
      </c>
      <c r="D167">
        <f t="shared" si="2"/>
        <v>39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39</v>
      </c>
    </row>
    <row r="169" spans="2:4" x14ac:dyDescent="0.3">
      <c r="B169" t="s">
        <v>1305</v>
      </c>
      <c r="C169" s="52">
        <f>SUMIF(BTS_매출관리!C:C,B169,BTS_매출관리!I:I)</f>
        <v>0</v>
      </c>
      <c r="D169">
        <f t="shared" si="2"/>
        <v>39</v>
      </c>
    </row>
    <row r="170" spans="2:4" x14ac:dyDescent="0.3">
      <c r="B170" t="s">
        <v>1307</v>
      </c>
      <c r="C170" s="52">
        <f>SUMIF(BTS_매출관리!C:C,B170,BTS_매출관리!I:I)</f>
        <v>0</v>
      </c>
      <c r="D170">
        <f t="shared" si="2"/>
        <v>39</v>
      </c>
    </row>
    <row r="171" spans="2:4" x14ac:dyDescent="0.3">
      <c r="B171" t="s">
        <v>1308</v>
      </c>
      <c r="C171" s="52">
        <f>SUMIF(BTS_매출관리!C:C,B171,BTS_매출관리!I:I)</f>
        <v>0</v>
      </c>
      <c r="D171">
        <f t="shared" si="2"/>
        <v>39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39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39</v>
      </c>
    </row>
    <row r="174" spans="2:4" x14ac:dyDescent="0.3">
      <c r="B174" t="s">
        <v>1321</v>
      </c>
      <c r="C174" s="52">
        <f>SUMIF(BTS_매출관리!C:C,B174,BTS_매출관리!I:I)</f>
        <v>0</v>
      </c>
      <c r="D174">
        <f t="shared" si="2"/>
        <v>39</v>
      </c>
    </row>
    <row r="175" spans="2:4" x14ac:dyDescent="0.3">
      <c r="B175" t="s">
        <v>1323</v>
      </c>
      <c r="C175" s="52">
        <f>SUMIF(BTS_매출관리!C:C,B175,BTS_매출관리!I:I)</f>
        <v>0</v>
      </c>
      <c r="D175">
        <f t="shared" si="2"/>
        <v>39</v>
      </c>
    </row>
    <row r="176" spans="2:4" x14ac:dyDescent="0.3">
      <c r="B176" t="s">
        <v>1327</v>
      </c>
      <c r="C176" s="52">
        <f>SUMIF(BTS_매출관리!C:C,B176,BTS_매출관리!I:I)</f>
        <v>0</v>
      </c>
      <c r="D176">
        <f t="shared" si="2"/>
        <v>39</v>
      </c>
    </row>
    <row r="177" spans="2:4" x14ac:dyDescent="0.3">
      <c r="B177" t="s">
        <v>1333</v>
      </c>
      <c r="C177" s="52">
        <f>SUMIF(BTS_매출관리!C:C,B177,BTS_매출관리!I:I)</f>
        <v>0</v>
      </c>
      <c r="D177">
        <f t="shared" si="2"/>
        <v>39</v>
      </c>
    </row>
    <row r="178" spans="2:4" x14ac:dyDescent="0.3">
      <c r="B178" t="s">
        <v>1334</v>
      </c>
      <c r="C178" s="52">
        <f>SUMIF(BTS_매출관리!C:C,B178,BTS_매출관리!I:I)</f>
        <v>0</v>
      </c>
      <c r="D178">
        <f t="shared" si="2"/>
        <v>39</v>
      </c>
    </row>
    <row r="179" spans="2:4" x14ac:dyDescent="0.3">
      <c r="B179" t="s">
        <v>1339</v>
      </c>
      <c r="C179" s="52">
        <f>SUMIF(BTS_매출관리!C:C,B179,BTS_매출관리!I:I)</f>
        <v>0</v>
      </c>
      <c r="D179">
        <f t="shared" si="2"/>
        <v>39</v>
      </c>
    </row>
    <row r="180" spans="2:4" x14ac:dyDescent="0.3">
      <c r="B180" t="s">
        <v>1343</v>
      </c>
      <c r="C180" s="52">
        <f>SUMIF(BTS_매출관리!C:C,B180,BTS_매출관리!I:I)</f>
        <v>0</v>
      </c>
      <c r="D180">
        <f t="shared" si="2"/>
        <v>39</v>
      </c>
    </row>
    <row r="181" spans="2:4" x14ac:dyDescent="0.3">
      <c r="B181" t="s">
        <v>1346</v>
      </c>
      <c r="C181" s="52">
        <f>SUMIF(BTS_매출관리!C:C,B181,BTS_매출관리!I:I)</f>
        <v>0</v>
      </c>
      <c r="D181">
        <f t="shared" si="2"/>
        <v>39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39</v>
      </c>
    </row>
    <row r="183" spans="2:4" x14ac:dyDescent="0.3">
      <c r="B183" t="s">
        <v>1354</v>
      </c>
      <c r="C183" s="52">
        <f>SUMIF(BTS_매출관리!C:C,B183,BTS_매출관리!I:I)</f>
        <v>0</v>
      </c>
      <c r="D183">
        <f t="shared" si="2"/>
        <v>39</v>
      </c>
    </row>
    <row r="184" spans="2:4" x14ac:dyDescent="0.3">
      <c r="B184" t="s">
        <v>1561</v>
      </c>
      <c r="C184" s="52">
        <f>SUMIF(BTS_매출관리!C:C,B184,BTS_매출관리!I:I)</f>
        <v>0</v>
      </c>
      <c r="D184">
        <f t="shared" si="2"/>
        <v>39</v>
      </c>
    </row>
    <row r="185" spans="2:4" x14ac:dyDescent="0.3">
      <c r="B185" t="s">
        <v>2367</v>
      </c>
      <c r="C185" s="52">
        <f>SUMIF(BTS_매출관리!C:C,B185,BTS_매출관리!I:I)</f>
        <v>0</v>
      </c>
      <c r="D185">
        <f t="shared" si="2"/>
        <v>39</v>
      </c>
    </row>
    <row r="186" spans="2:4" x14ac:dyDescent="0.3">
      <c r="B186" t="s">
        <v>2673</v>
      </c>
      <c r="C186" s="52">
        <f>SUMIF(BTS_매출관리!C:C,B186,BTS_매출관리!I:I)</f>
        <v>0</v>
      </c>
      <c r="D186">
        <f t="shared" si="2"/>
        <v>39</v>
      </c>
    </row>
    <row r="187" spans="2:4" x14ac:dyDescent="0.3">
      <c r="B187" t="s">
        <v>2926</v>
      </c>
      <c r="C187" s="52">
        <f>SUMIF(BTS_매출관리!C:C,B187,BTS_매출관리!I:I)</f>
        <v>0</v>
      </c>
      <c r="D187">
        <f t="shared" si="2"/>
        <v>39</v>
      </c>
    </row>
    <row r="188" spans="2:4" x14ac:dyDescent="0.3">
      <c r="C188" s="52">
        <f>SUMIF(BTS_매출관리!C:C,B188,BTS_매출관리!I:I)</f>
        <v>0</v>
      </c>
      <c r="D188">
        <f t="shared" si="2"/>
        <v>39</v>
      </c>
    </row>
    <row r="189" spans="2:4" x14ac:dyDescent="0.3">
      <c r="C189" s="52">
        <f>SUMIF(BTS_매출관리!C:C,B189,BTS_매출관리!I:I)</f>
        <v>0</v>
      </c>
      <c r="D189">
        <f t="shared" si="2"/>
        <v>39</v>
      </c>
    </row>
    <row r="190" spans="2:4" x14ac:dyDescent="0.3">
      <c r="C190" s="52">
        <f>SUMIF(BTS_매출관리!C:C,B190,BTS_매출관리!I:I)</f>
        <v>0</v>
      </c>
      <c r="D190">
        <f t="shared" si="2"/>
        <v>39</v>
      </c>
    </row>
    <row r="191" spans="2:4" x14ac:dyDescent="0.3">
      <c r="C191" s="52">
        <f>SUMIF(BTS_매출관리!C:C,B191,BTS_매출관리!I:I)</f>
        <v>0</v>
      </c>
      <c r="D191">
        <f t="shared" si="2"/>
        <v>39</v>
      </c>
    </row>
    <row r="192" spans="2:4" x14ac:dyDescent="0.3">
      <c r="C192" s="52">
        <f>SUMIF(BTS_매출관리!C:C,B192,BTS_매출관리!I:I)</f>
        <v>0</v>
      </c>
      <c r="D192">
        <f t="shared" si="2"/>
        <v>39</v>
      </c>
    </row>
    <row r="193" spans="3:4" x14ac:dyDescent="0.3">
      <c r="C193" s="52">
        <f>SUMIF(BTS_매출관리!C:C,B193,BTS_매출관리!I:I)</f>
        <v>0</v>
      </c>
      <c r="D193">
        <f t="shared" si="2"/>
        <v>39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39</v>
      </c>
    </row>
    <row r="195" spans="3:4" x14ac:dyDescent="0.3">
      <c r="C195" s="52">
        <f>SUMIF(BTS_매출관리!C:C,B195,BTS_매출관리!I:I)</f>
        <v>0</v>
      </c>
      <c r="D195">
        <f t="shared" si="3"/>
        <v>39</v>
      </c>
    </row>
    <row r="196" spans="3:4" x14ac:dyDescent="0.3">
      <c r="C196" s="52">
        <f>SUMIF(BTS_매출관리!C:C,B196,BTS_매출관리!I:I)</f>
        <v>0</v>
      </c>
      <c r="D196">
        <f t="shared" si="3"/>
        <v>39</v>
      </c>
    </row>
    <row r="197" spans="3:4" x14ac:dyDescent="0.3">
      <c r="C197" s="52">
        <f>SUMIF(BTS_매출관리!C:C,B197,BTS_매출관리!I:I)</f>
        <v>0</v>
      </c>
      <c r="D197">
        <f t="shared" si="3"/>
        <v>39</v>
      </c>
    </row>
    <row r="198" spans="3:4" x14ac:dyDescent="0.3">
      <c r="C198" s="52">
        <f>SUMIF(BTS_매출관리!C:C,B198,BTS_매출관리!I:I)</f>
        <v>0</v>
      </c>
      <c r="D198">
        <f t="shared" si="3"/>
        <v>39</v>
      </c>
    </row>
    <row r="199" spans="3:4" x14ac:dyDescent="0.3">
      <c r="C199" s="52">
        <f>SUMIF(BTS_매출관리!C:C,B199,BTS_매출관리!I:I)</f>
        <v>0</v>
      </c>
      <c r="D199">
        <f t="shared" si="3"/>
        <v>39</v>
      </c>
    </row>
    <row r="200" spans="3:4" x14ac:dyDescent="0.3">
      <c r="C200" s="52">
        <f>SUMIF(BTS_매출관리!C:C,B200,BTS_매출관리!I:I)</f>
        <v>0</v>
      </c>
      <c r="D200">
        <f t="shared" si="3"/>
        <v>39</v>
      </c>
    </row>
    <row r="201" spans="3:4" x14ac:dyDescent="0.3">
      <c r="C201" s="52">
        <f>SUMIF(BTS_매출관리!C:C,B201,BTS_매출관리!I:I)</f>
        <v>0</v>
      </c>
      <c r="D201">
        <f t="shared" si="3"/>
        <v>39</v>
      </c>
    </row>
    <row r="202" spans="3:4" x14ac:dyDescent="0.3">
      <c r="C202" s="52">
        <f>SUMIF(BTS_매출관리!C:C,B202,BTS_매출관리!I:I)</f>
        <v>0</v>
      </c>
      <c r="D202">
        <f t="shared" si="3"/>
        <v>39</v>
      </c>
    </row>
    <row r="203" spans="3:4" x14ac:dyDescent="0.3">
      <c r="C203" s="52">
        <f>SUMIF(BTS_매출관리!C:C,B203,BTS_매출관리!I:I)</f>
        <v>0</v>
      </c>
      <c r="D203">
        <f t="shared" si="3"/>
        <v>39</v>
      </c>
    </row>
    <row r="204" spans="3:4" x14ac:dyDescent="0.3">
      <c r="C204" s="52">
        <f>SUMIF(BTS_매출관리!C:C,B204,BTS_매출관리!I:I)</f>
        <v>0</v>
      </c>
      <c r="D204">
        <f t="shared" si="3"/>
        <v>39</v>
      </c>
    </row>
    <row r="205" spans="3:4" x14ac:dyDescent="0.3">
      <c r="C205" s="52">
        <f>SUMIF(BTS_매출관리!C:C,B205,BTS_매출관리!I:I)</f>
        <v>0</v>
      </c>
      <c r="D205">
        <f t="shared" si="3"/>
        <v>39</v>
      </c>
    </row>
    <row r="206" spans="3:4" x14ac:dyDescent="0.3">
      <c r="C206" s="52">
        <f>SUMIF(BTS_매출관리!C:C,B206,BTS_매출관리!I:I)</f>
        <v>0</v>
      </c>
      <c r="D206">
        <f t="shared" si="3"/>
        <v>39</v>
      </c>
    </row>
    <row r="207" spans="3:4" x14ac:dyDescent="0.3">
      <c r="C207" s="52">
        <f>SUMIF(BTS_매출관리!C:C,B207,BTS_매출관리!I:I)</f>
        <v>0</v>
      </c>
      <c r="D207">
        <f t="shared" si="3"/>
        <v>39</v>
      </c>
    </row>
    <row r="208" spans="3:4" x14ac:dyDescent="0.3">
      <c r="C208" s="52">
        <f>SUMIF(BTS_매출관리!C:C,B208,BTS_매출관리!I:I)</f>
        <v>0</v>
      </c>
      <c r="D208">
        <f t="shared" si="3"/>
        <v>39</v>
      </c>
    </row>
    <row r="209" spans="3:4" x14ac:dyDescent="0.3">
      <c r="C209" s="52">
        <f>SUMIF(BTS_매출관리!C:C,B209,BTS_매출관리!I:I)</f>
        <v>0</v>
      </c>
      <c r="D209">
        <f t="shared" si="3"/>
        <v>39</v>
      </c>
    </row>
    <row r="210" spans="3:4" x14ac:dyDescent="0.3">
      <c r="C210" s="52">
        <f>SUMIF(BTS_매출관리!C:C,B210,BTS_매출관리!I:I)</f>
        <v>0</v>
      </c>
      <c r="D210">
        <f t="shared" si="3"/>
        <v>39</v>
      </c>
    </row>
    <row r="211" spans="3:4" x14ac:dyDescent="0.3">
      <c r="C211" s="52">
        <f>SUMIF(BTS_매출관리!C:C,B211,BTS_매출관리!I:I)</f>
        <v>0</v>
      </c>
      <c r="D211">
        <f t="shared" si="3"/>
        <v>39</v>
      </c>
    </row>
    <row r="212" spans="3:4" x14ac:dyDescent="0.3">
      <c r="C212" s="52">
        <f>SUMIF(BTS_매출관리!C:C,B212,BTS_매출관리!I:I)</f>
        <v>0</v>
      </c>
      <c r="D212">
        <f t="shared" si="3"/>
        <v>39</v>
      </c>
    </row>
    <row r="213" spans="3:4" x14ac:dyDescent="0.3">
      <c r="C213" s="52">
        <f>SUMIF(BTS_매출관리!C:C,B213,BTS_매출관리!I:I)</f>
        <v>0</v>
      </c>
      <c r="D213">
        <f t="shared" si="3"/>
        <v>39</v>
      </c>
    </row>
    <row r="214" spans="3:4" x14ac:dyDescent="0.3">
      <c r="C214" s="52">
        <f>SUMIF(BTS_매출관리!C:C,B214,BTS_매출관리!I:I)</f>
        <v>0</v>
      </c>
      <c r="D214">
        <f t="shared" si="3"/>
        <v>39</v>
      </c>
    </row>
    <row r="215" spans="3:4" x14ac:dyDescent="0.3">
      <c r="C215" s="52">
        <f>SUMIF(BTS_매출관리!C:C,B215,BTS_매출관리!I:I)</f>
        <v>0</v>
      </c>
      <c r="D215">
        <f t="shared" si="3"/>
        <v>39</v>
      </c>
    </row>
    <row r="216" spans="3:4" x14ac:dyDescent="0.3">
      <c r="C216" s="52">
        <f>SUMIF(BTS_매출관리!C:C,B216,BTS_매출관리!I:I)</f>
        <v>0</v>
      </c>
      <c r="D216">
        <f t="shared" si="3"/>
        <v>39</v>
      </c>
    </row>
    <row r="217" spans="3:4" x14ac:dyDescent="0.3">
      <c r="C217" s="52">
        <f>SUMIF(BTS_매출관리!C:C,B217,BTS_매출관리!I:I)</f>
        <v>0</v>
      </c>
      <c r="D217">
        <f t="shared" si="3"/>
        <v>39</v>
      </c>
    </row>
    <row r="218" spans="3:4" x14ac:dyDescent="0.3">
      <c r="C218" s="52">
        <f>SUMIF(BTS_매출관리!C:C,B218,BTS_매출관리!I:I)</f>
        <v>0</v>
      </c>
      <c r="D218">
        <f t="shared" si="3"/>
        <v>39</v>
      </c>
    </row>
    <row r="219" spans="3:4" x14ac:dyDescent="0.3">
      <c r="C219" s="52">
        <f>SUMIF(BTS_매출관리!C:C,B219,BTS_매출관리!I:I)</f>
        <v>0</v>
      </c>
      <c r="D219">
        <f t="shared" si="3"/>
        <v>39</v>
      </c>
    </row>
    <row r="220" spans="3:4" x14ac:dyDescent="0.3">
      <c r="C220" s="52">
        <f>SUMIF(BTS_매출관리!C:C,B220,BTS_매출관리!I:I)</f>
        <v>0</v>
      </c>
      <c r="D220">
        <f t="shared" si="3"/>
        <v>39</v>
      </c>
    </row>
    <row r="221" spans="3:4" x14ac:dyDescent="0.3">
      <c r="C221" s="52">
        <f>SUMIF(BTS_매출관리!C:C,B221,BTS_매출관리!I:I)</f>
        <v>0</v>
      </c>
      <c r="D221">
        <f t="shared" si="3"/>
        <v>39</v>
      </c>
    </row>
    <row r="222" spans="3:4" x14ac:dyDescent="0.3">
      <c r="C222" s="52">
        <f>SUMIF(BTS_매출관리!C:C,B222,BTS_매출관리!I:I)</f>
        <v>0</v>
      </c>
      <c r="D222">
        <f t="shared" si="3"/>
        <v>39</v>
      </c>
    </row>
    <row r="223" spans="3:4" x14ac:dyDescent="0.3">
      <c r="C223" s="52">
        <f>SUMIF(BTS_매출관리!C:C,B223,BTS_매출관리!I:I)</f>
        <v>0</v>
      </c>
      <c r="D223">
        <f t="shared" si="3"/>
        <v>39</v>
      </c>
    </row>
    <row r="224" spans="3:4" x14ac:dyDescent="0.3">
      <c r="C224" s="52">
        <f>SUMIF(BTS_매출관리!C:C,B224,BTS_매출관리!I:I)</f>
        <v>0</v>
      </c>
      <c r="D224">
        <f t="shared" si="3"/>
        <v>39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2549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1621</v>
      </c>
      <c r="J8" s="119" t="s">
        <v>2550</v>
      </c>
      <c r="K8" s="77" t="s">
        <v>1621</v>
      </c>
      <c r="L8" s="77" t="s">
        <v>2550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1995</v>
      </c>
    </row>
    <row r="3" spans="1:2" x14ac:dyDescent="0.3">
      <c r="A3" t="s">
        <v>1997</v>
      </c>
    </row>
    <row r="4" spans="1:2" x14ac:dyDescent="0.3">
      <c r="A4" t="s">
        <v>1998</v>
      </c>
    </row>
    <row r="5" spans="1:2" x14ac:dyDescent="0.3">
      <c r="A5" t="s">
        <v>1999</v>
      </c>
    </row>
    <row r="6" spans="1:2" x14ac:dyDescent="0.3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2219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1537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7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1198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1234</v>
      </c>
      <c r="D5" t="s">
        <v>1237</v>
      </c>
    </row>
    <row r="6" spans="1:7" x14ac:dyDescent="0.3">
      <c r="A6">
        <v>5</v>
      </c>
      <c r="B6" s="13">
        <v>45737</v>
      </c>
      <c r="C6" t="s">
        <v>1000</v>
      </c>
      <c r="D6" t="s">
        <v>1260</v>
      </c>
    </row>
    <row r="7" spans="1:7" x14ac:dyDescent="0.3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 x14ac:dyDescent="0.3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 x14ac:dyDescent="0.3">
      <c r="A9">
        <v>7</v>
      </c>
      <c r="B9" s="13">
        <v>45740</v>
      </c>
      <c r="C9" t="s">
        <v>1369</v>
      </c>
      <c r="D9" t="s">
        <v>1373</v>
      </c>
    </row>
    <row r="10" spans="1:7" x14ac:dyDescent="0.3">
      <c r="A10">
        <v>8</v>
      </c>
      <c r="B10" s="13">
        <v>45740</v>
      </c>
      <c r="C10" t="s">
        <v>1374</v>
      </c>
      <c r="D10" t="s">
        <v>1375</v>
      </c>
    </row>
    <row r="11" spans="1:7" x14ac:dyDescent="0.3">
      <c r="A11">
        <v>9</v>
      </c>
      <c r="B11" s="13">
        <v>45740</v>
      </c>
      <c r="C11" t="s">
        <v>1007</v>
      </c>
      <c r="D11" t="s">
        <v>1379</v>
      </c>
    </row>
    <row r="12" spans="1:7" x14ac:dyDescent="0.3">
      <c r="A12">
        <v>10</v>
      </c>
      <c r="B12" s="13">
        <v>45723</v>
      </c>
      <c r="C12" t="s">
        <v>1395</v>
      </c>
      <c r="D12" t="s">
        <v>1432</v>
      </c>
    </row>
    <row r="13" spans="1:7" x14ac:dyDescent="0.3">
      <c r="A13">
        <v>11</v>
      </c>
      <c r="B13" s="13">
        <v>45723</v>
      </c>
      <c r="C13" t="s">
        <v>1433</v>
      </c>
      <c r="D13" t="s">
        <v>1434</v>
      </c>
    </row>
    <row r="14" spans="1:7" x14ac:dyDescent="0.3">
      <c r="A14">
        <v>12</v>
      </c>
      <c r="B14" s="13">
        <v>45723</v>
      </c>
      <c r="C14" t="s">
        <v>1387</v>
      </c>
      <c r="D14" t="s">
        <v>1435</v>
      </c>
    </row>
    <row r="15" spans="1:7" x14ac:dyDescent="0.3">
      <c r="A15">
        <v>13</v>
      </c>
      <c r="B15" s="13">
        <v>45722</v>
      </c>
      <c r="C15" t="s">
        <v>1395</v>
      </c>
      <c r="D15" t="s">
        <v>1436</v>
      </c>
    </row>
    <row r="16" spans="1:7" x14ac:dyDescent="0.3">
      <c r="A16">
        <v>14</v>
      </c>
      <c r="B16" s="13">
        <v>45722</v>
      </c>
      <c r="C16" t="s">
        <v>1147</v>
      </c>
      <c r="D16" t="s">
        <v>1437</v>
      </c>
    </row>
    <row r="17" spans="1:4" x14ac:dyDescent="0.3">
      <c r="A17">
        <v>15</v>
      </c>
      <c r="B17" s="13">
        <v>45722</v>
      </c>
      <c r="C17" t="s">
        <v>1438</v>
      </c>
      <c r="D17" t="s">
        <v>1439</v>
      </c>
    </row>
    <row r="18" spans="1:4" x14ac:dyDescent="0.3">
      <c r="A18">
        <v>16</v>
      </c>
      <c r="B18" s="13">
        <v>45721</v>
      </c>
      <c r="C18" t="s">
        <v>1440</v>
      </c>
      <c r="D18" t="s">
        <v>1441</v>
      </c>
    </row>
    <row r="19" spans="1:4" x14ac:dyDescent="0.3">
      <c r="A19">
        <v>17</v>
      </c>
      <c r="B19" s="13">
        <v>45720</v>
      </c>
      <c r="C19" t="s">
        <v>1395</v>
      </c>
      <c r="D19" t="s">
        <v>1442</v>
      </c>
    </row>
    <row r="20" spans="1:4" x14ac:dyDescent="0.3">
      <c r="A20">
        <v>17</v>
      </c>
      <c r="B20" s="13">
        <v>45720</v>
      </c>
      <c r="C20" t="s">
        <v>1440</v>
      </c>
      <c r="D20" t="s">
        <v>1443</v>
      </c>
    </row>
    <row r="21" spans="1:4" x14ac:dyDescent="0.3">
      <c r="A21">
        <v>18</v>
      </c>
      <c r="B21" s="13">
        <v>45720</v>
      </c>
      <c r="C21" t="s">
        <v>1147</v>
      </c>
      <c r="D21" t="s">
        <v>1444</v>
      </c>
    </row>
    <row r="22" spans="1:4" x14ac:dyDescent="0.3">
      <c r="A22">
        <v>19</v>
      </c>
      <c r="B22" s="13">
        <v>45720</v>
      </c>
      <c r="C22" t="s">
        <v>1445</v>
      </c>
      <c r="D22" t="s">
        <v>1446</v>
      </c>
    </row>
    <row r="23" spans="1:4" x14ac:dyDescent="0.3">
      <c r="A23">
        <v>20</v>
      </c>
      <c r="B23" s="13">
        <v>45717</v>
      </c>
      <c r="C23" t="s">
        <v>1395</v>
      </c>
      <c r="D23" t="s">
        <v>1447</v>
      </c>
    </row>
    <row r="24" spans="1:4" x14ac:dyDescent="0.3">
      <c r="A24">
        <v>21</v>
      </c>
      <c r="B24" s="13">
        <v>45717</v>
      </c>
      <c r="C24" t="s">
        <v>1448</v>
      </c>
      <c r="D24" t="s">
        <v>1449</v>
      </c>
    </row>
    <row r="25" spans="1:4" x14ac:dyDescent="0.3">
      <c r="A25">
        <v>22</v>
      </c>
      <c r="B25" s="13">
        <v>45723</v>
      </c>
      <c r="C25" t="s">
        <v>1450</v>
      </c>
      <c r="D25" t="s">
        <v>1451</v>
      </c>
    </row>
    <row r="26" spans="1:4" x14ac:dyDescent="0.3">
      <c r="A26">
        <v>23</v>
      </c>
      <c r="B26" s="13">
        <v>45723</v>
      </c>
      <c r="C26" t="s">
        <v>1452</v>
      </c>
      <c r="D26" t="s">
        <v>1453</v>
      </c>
    </row>
    <row r="27" spans="1:4" x14ac:dyDescent="0.3">
      <c r="A27">
        <v>24</v>
      </c>
      <c r="B27" s="13">
        <v>45723</v>
      </c>
      <c r="C27" t="s">
        <v>1454</v>
      </c>
      <c r="D27" t="s">
        <v>1455</v>
      </c>
    </row>
    <row r="28" spans="1:4" x14ac:dyDescent="0.3">
      <c r="A28">
        <v>25</v>
      </c>
      <c r="B28" s="13">
        <v>45724</v>
      </c>
      <c r="C28" t="s">
        <v>1395</v>
      </c>
      <c r="D28" t="s">
        <v>1456</v>
      </c>
    </row>
    <row r="29" spans="1:4" x14ac:dyDescent="0.3">
      <c r="A29">
        <v>26</v>
      </c>
      <c r="B29" s="13">
        <v>45726</v>
      </c>
      <c r="C29" t="s">
        <v>1440</v>
      </c>
      <c r="D29" t="s">
        <v>1457</v>
      </c>
    </row>
    <row r="30" spans="1:4" x14ac:dyDescent="0.3">
      <c r="A30">
        <v>27</v>
      </c>
      <c r="B30" s="13">
        <v>45726</v>
      </c>
      <c r="C30" t="s">
        <v>1053</v>
      </c>
      <c r="D30" t="s">
        <v>1458</v>
      </c>
    </row>
    <row r="31" spans="1:4" x14ac:dyDescent="0.3">
      <c r="A31">
        <v>28</v>
      </c>
      <c r="B31" s="13">
        <v>45727</v>
      </c>
      <c r="C31" t="s">
        <v>1082</v>
      </c>
      <c r="D31" t="s">
        <v>1459</v>
      </c>
    </row>
    <row r="32" spans="1:4" x14ac:dyDescent="0.3">
      <c r="A32">
        <v>29</v>
      </c>
      <c r="B32" s="13">
        <v>45727</v>
      </c>
      <c r="C32" t="s">
        <v>1395</v>
      </c>
      <c r="D32" t="s">
        <v>1461</v>
      </c>
    </row>
    <row r="33" spans="1:4" x14ac:dyDescent="0.3">
      <c r="A33">
        <v>30</v>
      </c>
      <c r="B33" s="13">
        <v>45727</v>
      </c>
      <c r="C33" t="s">
        <v>1156</v>
      </c>
      <c r="D33" t="s">
        <v>1462</v>
      </c>
    </row>
    <row r="34" spans="1:4" x14ac:dyDescent="0.3">
      <c r="A34">
        <v>31</v>
      </c>
      <c r="B34" s="13">
        <v>45727</v>
      </c>
      <c r="C34" t="s">
        <v>1463</v>
      </c>
      <c r="D34" t="s">
        <v>1464</v>
      </c>
    </row>
    <row r="35" spans="1:4" x14ac:dyDescent="0.3">
      <c r="A35">
        <v>32</v>
      </c>
      <c r="B35" s="13">
        <v>45729</v>
      </c>
      <c r="C35" t="s">
        <v>1465</v>
      </c>
      <c r="D35" t="s">
        <v>1467</v>
      </c>
    </row>
    <row r="36" spans="1:4" x14ac:dyDescent="0.3">
      <c r="A36">
        <v>33</v>
      </c>
      <c r="B36" s="13">
        <v>45729</v>
      </c>
      <c r="C36" t="s">
        <v>1007</v>
      </c>
      <c r="D36" t="s">
        <v>1468</v>
      </c>
    </row>
    <row r="37" spans="1:4" x14ac:dyDescent="0.3">
      <c r="A37">
        <v>34</v>
      </c>
      <c r="B37" s="13">
        <v>45730</v>
      </c>
      <c r="C37" t="s">
        <v>1469</v>
      </c>
      <c r="D37" t="s">
        <v>1470</v>
      </c>
    </row>
    <row r="38" spans="1:4" x14ac:dyDescent="0.3">
      <c r="A38">
        <v>35</v>
      </c>
      <c r="B38" s="13">
        <v>45730</v>
      </c>
      <c r="C38" t="s">
        <v>1395</v>
      </c>
      <c r="D38" t="s">
        <v>1473</v>
      </c>
    </row>
    <row r="39" spans="1:4" x14ac:dyDescent="0.3">
      <c r="A39">
        <v>36</v>
      </c>
      <c r="B39" s="13">
        <v>45731</v>
      </c>
      <c r="C39" t="s">
        <v>1172</v>
      </c>
      <c r="D39" t="s">
        <v>1474</v>
      </c>
    </row>
    <row r="40" spans="1:4" x14ac:dyDescent="0.3">
      <c r="A40">
        <v>37</v>
      </c>
      <c r="B40" s="13">
        <v>45731</v>
      </c>
      <c r="C40" t="s">
        <v>1475</v>
      </c>
      <c r="D40" t="s">
        <v>1477</v>
      </c>
    </row>
    <row r="41" spans="1:4" x14ac:dyDescent="0.3">
      <c r="A41">
        <v>38</v>
      </c>
      <c r="B41" s="13">
        <v>45731</v>
      </c>
      <c r="C41" t="s">
        <v>1026</v>
      </c>
      <c r="D41" t="s">
        <v>1479</v>
      </c>
    </row>
    <row r="42" spans="1:4" x14ac:dyDescent="0.3">
      <c r="A42">
        <v>39</v>
      </c>
      <c r="B42" s="13">
        <v>45733</v>
      </c>
      <c r="C42" t="s">
        <v>1147</v>
      </c>
      <c r="D42" t="s">
        <v>1480</v>
      </c>
    </row>
    <row r="43" spans="1:4" x14ac:dyDescent="0.3">
      <c r="A43">
        <v>40</v>
      </c>
      <c r="B43" s="13">
        <v>45733</v>
      </c>
      <c r="C43" t="s">
        <v>1481</v>
      </c>
      <c r="D43" t="s">
        <v>1483</v>
      </c>
    </row>
    <row r="44" spans="1:4" x14ac:dyDescent="0.3">
      <c r="A44">
        <v>41</v>
      </c>
      <c r="B44" s="13">
        <v>45733</v>
      </c>
      <c r="C44" t="s">
        <v>1046</v>
      </c>
      <c r="D44" t="s">
        <v>1487</v>
      </c>
    </row>
    <row r="45" spans="1:4" x14ac:dyDescent="0.3">
      <c r="A45">
        <v>42</v>
      </c>
      <c r="B45" s="13">
        <v>45733</v>
      </c>
      <c r="C45" t="s">
        <v>1465</v>
      </c>
      <c r="D45" t="s">
        <v>1489</v>
      </c>
    </row>
    <row r="46" spans="1:4" x14ac:dyDescent="0.3">
      <c r="A46">
        <v>43</v>
      </c>
      <c r="B46" s="13">
        <v>45733</v>
      </c>
      <c r="C46" t="s">
        <v>1490</v>
      </c>
      <c r="D46" t="s">
        <v>1493</v>
      </c>
    </row>
    <row r="47" spans="1:4" x14ac:dyDescent="0.3">
      <c r="A47">
        <v>44</v>
      </c>
      <c r="B47" s="13">
        <v>45734</v>
      </c>
      <c r="C47" t="s">
        <v>1494</v>
      </c>
      <c r="D47" t="s">
        <v>1495</v>
      </c>
    </row>
    <row r="48" spans="1:4" x14ac:dyDescent="0.3">
      <c r="A48">
        <v>45</v>
      </c>
      <c r="B48" s="13">
        <v>45735</v>
      </c>
      <c r="C48" t="s">
        <v>1395</v>
      </c>
      <c r="D48" t="s">
        <v>1496</v>
      </c>
    </row>
    <row r="49" spans="1:5" x14ac:dyDescent="0.3">
      <c r="A49">
        <v>46</v>
      </c>
      <c r="B49" s="13">
        <v>45735</v>
      </c>
      <c r="C49" t="s">
        <v>1395</v>
      </c>
      <c r="D49" t="s">
        <v>1498</v>
      </c>
    </row>
    <row r="50" spans="1:5" x14ac:dyDescent="0.3">
      <c r="A50">
        <v>47</v>
      </c>
      <c r="B50" s="13">
        <v>45735</v>
      </c>
      <c r="C50" t="s">
        <v>1053</v>
      </c>
      <c r="D50" t="s">
        <v>1500</v>
      </c>
    </row>
    <row r="51" spans="1:5" x14ac:dyDescent="0.3">
      <c r="A51">
        <v>48</v>
      </c>
      <c r="B51" s="13">
        <v>45735</v>
      </c>
      <c r="C51" t="s">
        <v>1374</v>
      </c>
      <c r="D51" t="s">
        <v>1503</v>
      </c>
    </row>
    <row r="52" spans="1:5" x14ac:dyDescent="0.3">
      <c r="A52">
        <v>49</v>
      </c>
      <c r="B52" s="13">
        <v>45736</v>
      </c>
      <c r="C52" t="s">
        <v>1440</v>
      </c>
      <c r="D52" t="s">
        <v>1507</v>
      </c>
    </row>
    <row r="53" spans="1:5" x14ac:dyDescent="0.3">
      <c r="A53">
        <v>50</v>
      </c>
      <c r="B53" s="13">
        <v>45736</v>
      </c>
      <c r="C53" t="s">
        <v>1234</v>
      </c>
      <c r="D53" t="s">
        <v>1508</v>
      </c>
    </row>
    <row r="54" spans="1:5" x14ac:dyDescent="0.3">
      <c r="A54">
        <v>51</v>
      </c>
      <c r="B54" s="13">
        <v>45736</v>
      </c>
      <c r="C54" t="s">
        <v>1465</v>
      </c>
      <c r="D54" t="s">
        <v>1509</v>
      </c>
    </row>
    <row r="55" spans="1:5" x14ac:dyDescent="0.3">
      <c r="A55">
        <v>52</v>
      </c>
      <c r="B55" s="13">
        <v>45736</v>
      </c>
      <c r="C55" t="s">
        <v>1227</v>
      </c>
      <c r="D55" t="s">
        <v>1510</v>
      </c>
    </row>
    <row r="56" spans="1:5" x14ac:dyDescent="0.3">
      <c r="A56">
        <v>53</v>
      </c>
      <c r="B56" s="13">
        <v>45736</v>
      </c>
      <c r="C56" t="s">
        <v>1511</v>
      </c>
      <c r="D56" t="s">
        <v>1512</v>
      </c>
    </row>
    <row r="57" spans="1:5" x14ac:dyDescent="0.3">
      <c r="A57">
        <v>54</v>
      </c>
      <c r="B57" s="13">
        <v>45741</v>
      </c>
      <c r="C57" t="s">
        <v>1513</v>
      </c>
      <c r="D57" t="s">
        <v>1516</v>
      </c>
    </row>
    <row r="58" spans="1:5" x14ac:dyDescent="0.3">
      <c r="A58">
        <v>55</v>
      </c>
      <c r="B58" s="13">
        <v>45737</v>
      </c>
      <c r="C58" t="s">
        <v>1517</v>
      </c>
      <c r="D58" t="s">
        <v>1521</v>
      </c>
    </row>
    <row r="59" spans="1:5" x14ac:dyDescent="0.3">
      <c r="A59">
        <v>56</v>
      </c>
      <c r="B59" s="13">
        <v>45737</v>
      </c>
      <c r="C59" t="s">
        <v>1440</v>
      </c>
      <c r="D59" t="s">
        <v>1522</v>
      </c>
    </row>
    <row r="60" spans="1:5" x14ac:dyDescent="0.3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 x14ac:dyDescent="0.3">
      <c r="A61">
        <v>58</v>
      </c>
      <c r="B61" s="13">
        <v>45740</v>
      </c>
      <c r="C61" t="s">
        <v>1234</v>
      </c>
      <c r="D61" t="s">
        <v>1524</v>
      </c>
    </row>
    <row r="62" spans="1:5" x14ac:dyDescent="0.3">
      <c r="A62">
        <v>59</v>
      </c>
      <c r="B62" s="13">
        <v>45740</v>
      </c>
      <c r="C62" t="s">
        <v>1369</v>
      </c>
      <c r="D62" t="s">
        <v>1525</v>
      </c>
    </row>
    <row r="63" spans="1:5" x14ac:dyDescent="0.3">
      <c r="A63">
        <v>60</v>
      </c>
      <c r="B63" s="13">
        <v>45740</v>
      </c>
      <c r="C63" t="s">
        <v>1172</v>
      </c>
      <c r="D63" t="s">
        <v>1526</v>
      </c>
    </row>
    <row r="64" spans="1:5" x14ac:dyDescent="0.3">
      <c r="A64">
        <v>61</v>
      </c>
      <c r="B64" s="13">
        <v>45740</v>
      </c>
      <c r="C64" t="s">
        <v>1007</v>
      </c>
      <c r="D64" t="s">
        <v>1527</v>
      </c>
    </row>
    <row r="65" spans="1:6" x14ac:dyDescent="0.3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 x14ac:dyDescent="0.3">
      <c r="A66">
        <v>63</v>
      </c>
      <c r="B66" s="13">
        <v>45741</v>
      </c>
      <c r="C66" t="s">
        <v>1445</v>
      </c>
      <c r="D66" t="s">
        <v>1532</v>
      </c>
    </row>
    <row r="67" spans="1:6" x14ac:dyDescent="0.3">
      <c r="A67">
        <v>64</v>
      </c>
      <c r="B67" s="13">
        <v>45741</v>
      </c>
      <c r="C67" t="s">
        <v>1147</v>
      </c>
      <c r="D67" t="s">
        <v>1533</v>
      </c>
    </row>
    <row r="68" spans="1:6" x14ac:dyDescent="0.3">
      <c r="A68">
        <v>65</v>
      </c>
      <c r="B68" s="13">
        <v>45741</v>
      </c>
      <c r="C68" t="s">
        <v>1018</v>
      </c>
      <c r="D68" t="s">
        <v>1535</v>
      </c>
    </row>
    <row r="69" spans="1:6" x14ac:dyDescent="0.3">
      <c r="A69">
        <v>66</v>
      </c>
      <c r="B69" s="13">
        <v>45741</v>
      </c>
      <c r="C69" t="s">
        <v>1440</v>
      </c>
      <c r="D69" t="s">
        <v>1536</v>
      </c>
    </row>
    <row r="70" spans="1:6" x14ac:dyDescent="0.3">
      <c r="A70">
        <v>67</v>
      </c>
      <c r="B70" s="13">
        <v>45741</v>
      </c>
      <c r="C70" t="s">
        <v>1537</v>
      </c>
      <c r="D70" t="s">
        <v>1539</v>
      </c>
    </row>
    <row r="71" spans="1:6" x14ac:dyDescent="0.3">
      <c r="A71">
        <v>68</v>
      </c>
      <c r="B71" s="13">
        <v>45741</v>
      </c>
      <c r="C71" t="s">
        <v>1540</v>
      </c>
      <c r="D71" t="s">
        <v>1541</v>
      </c>
    </row>
    <row r="72" spans="1:6" x14ac:dyDescent="0.3">
      <c r="A72">
        <v>69</v>
      </c>
      <c r="B72" s="13">
        <v>45742</v>
      </c>
      <c r="C72" t="s">
        <v>1018</v>
      </c>
      <c r="D72" t="s">
        <v>1542</v>
      </c>
    </row>
    <row r="73" spans="1:6" x14ac:dyDescent="0.3">
      <c r="A73">
        <v>70</v>
      </c>
      <c r="B73" s="13">
        <v>45742</v>
      </c>
      <c r="C73" t="s">
        <v>1387</v>
      </c>
      <c r="D73" t="s">
        <v>1543</v>
      </c>
    </row>
    <row r="74" spans="1:6" x14ac:dyDescent="0.3">
      <c r="A74">
        <v>71</v>
      </c>
      <c r="B74" s="13">
        <v>45742</v>
      </c>
      <c r="C74" t="s">
        <v>1391</v>
      </c>
      <c r="D74" t="s">
        <v>1544</v>
      </c>
    </row>
    <row r="75" spans="1:6" x14ac:dyDescent="0.3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 x14ac:dyDescent="0.3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 x14ac:dyDescent="0.3">
      <c r="A78">
        <v>75</v>
      </c>
      <c r="B78" s="13">
        <v>45744</v>
      </c>
      <c r="C78" t="s">
        <v>1550</v>
      </c>
      <c r="D78" t="s">
        <v>1556</v>
      </c>
    </row>
    <row r="79" spans="1:6" x14ac:dyDescent="0.3">
      <c r="A79">
        <v>76</v>
      </c>
      <c r="B79" s="13">
        <v>45745</v>
      </c>
      <c r="C79" t="s">
        <v>978</v>
      </c>
      <c r="D79" t="s">
        <v>1558</v>
      </c>
    </row>
    <row r="80" spans="1:6" x14ac:dyDescent="0.3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 x14ac:dyDescent="0.3">
      <c r="A81">
        <v>78</v>
      </c>
      <c r="B81" s="13">
        <v>45747</v>
      </c>
      <c r="C81" t="s">
        <v>1082</v>
      </c>
      <c r="D81" t="s">
        <v>1570</v>
      </c>
    </row>
    <row r="82" spans="1:4" x14ac:dyDescent="0.3">
      <c r="A82">
        <v>79</v>
      </c>
      <c r="B82" s="13">
        <v>45747</v>
      </c>
      <c r="C82" t="s">
        <v>979</v>
      </c>
      <c r="D82" t="s">
        <v>1572</v>
      </c>
    </row>
    <row r="83" spans="1:4" x14ac:dyDescent="0.3">
      <c r="A83">
        <v>80</v>
      </c>
      <c r="B83" s="13">
        <v>45734</v>
      </c>
      <c r="C83" t="s">
        <v>1573</v>
      </c>
      <c r="D83" t="s">
        <v>1575</v>
      </c>
    </row>
    <row r="84" spans="1:4" x14ac:dyDescent="0.3">
      <c r="A84">
        <v>81</v>
      </c>
      <c r="B84" s="13">
        <v>45723</v>
      </c>
      <c r="C84" t="s">
        <v>1576</v>
      </c>
      <c r="D84" t="s">
        <v>1578</v>
      </c>
    </row>
    <row r="85" spans="1:4" x14ac:dyDescent="0.3">
      <c r="A85">
        <v>82</v>
      </c>
      <c r="B85" s="13">
        <v>45723</v>
      </c>
      <c r="C85" t="s">
        <v>1576</v>
      </c>
      <c r="D85" t="s">
        <v>1579</v>
      </c>
    </row>
    <row r="86" spans="1:4" x14ac:dyDescent="0.3">
      <c r="A86">
        <v>83</v>
      </c>
      <c r="B86" s="13">
        <v>45723</v>
      </c>
      <c r="C86" t="s">
        <v>1576</v>
      </c>
      <c r="D86" t="s">
        <v>1580</v>
      </c>
    </row>
    <row r="87" spans="1:4" x14ac:dyDescent="0.3">
      <c r="A87">
        <v>84</v>
      </c>
      <c r="B87" s="13">
        <v>45718</v>
      </c>
      <c r="C87" t="s">
        <v>1015</v>
      </c>
      <c r="D87" t="s">
        <v>1581</v>
      </c>
    </row>
    <row r="88" spans="1:4" x14ac:dyDescent="0.3">
      <c r="A88">
        <v>85</v>
      </c>
      <c r="B88" s="13">
        <v>45729</v>
      </c>
      <c r="C88" t="s">
        <v>1582</v>
      </c>
      <c r="D88" t="s">
        <v>1586</v>
      </c>
    </row>
    <row r="89" spans="1:4" x14ac:dyDescent="0.3">
      <c r="A89">
        <v>86</v>
      </c>
      <c r="B89" s="13">
        <v>45716</v>
      </c>
      <c r="C89" t="s">
        <v>1582</v>
      </c>
      <c r="D89" t="s">
        <v>1587</v>
      </c>
    </row>
    <row r="90" spans="1:4" x14ac:dyDescent="0.3">
      <c r="A90">
        <v>87</v>
      </c>
      <c r="B90" s="13">
        <v>45722</v>
      </c>
      <c r="C90" t="s">
        <v>1463</v>
      </c>
      <c r="D90" t="s">
        <v>1589</v>
      </c>
    </row>
    <row r="91" spans="1:4" x14ac:dyDescent="0.3">
      <c r="A91">
        <v>88</v>
      </c>
      <c r="B91" s="13">
        <v>45722</v>
      </c>
      <c r="C91" t="s">
        <v>987</v>
      </c>
      <c r="D91" t="s">
        <v>1590</v>
      </c>
    </row>
    <row r="92" spans="1:4" x14ac:dyDescent="0.3">
      <c r="A92">
        <v>89</v>
      </c>
      <c r="B92" s="13">
        <v>45726</v>
      </c>
      <c r="C92" t="s">
        <v>987</v>
      </c>
      <c r="D92" t="s">
        <v>1591</v>
      </c>
    </row>
    <row r="93" spans="1:4" x14ac:dyDescent="0.3">
      <c r="A93">
        <v>90</v>
      </c>
      <c r="B93" s="13">
        <v>45735</v>
      </c>
      <c r="C93" t="s">
        <v>1592</v>
      </c>
      <c r="D93" t="s">
        <v>1593</v>
      </c>
    </row>
    <row r="94" spans="1:4" x14ac:dyDescent="0.3">
      <c r="A94">
        <v>91</v>
      </c>
      <c r="B94" s="13">
        <v>45736</v>
      </c>
      <c r="C94" t="s">
        <v>1594</v>
      </c>
      <c r="D94" t="s">
        <v>1595</v>
      </c>
    </row>
    <row r="95" spans="1:4" x14ac:dyDescent="0.3">
      <c r="A95">
        <v>92</v>
      </c>
      <c r="B95" s="13">
        <v>45721</v>
      </c>
      <c r="C95" t="s">
        <v>1448</v>
      </c>
      <c r="D95" t="s">
        <v>1597</v>
      </c>
    </row>
    <row r="96" spans="1:4" x14ac:dyDescent="0.3">
      <c r="A96">
        <v>93</v>
      </c>
      <c r="B96" s="13">
        <v>45736</v>
      </c>
      <c r="C96" t="s">
        <v>1598</v>
      </c>
      <c r="D96" t="s">
        <v>1600</v>
      </c>
    </row>
    <row r="97" spans="1:4" x14ac:dyDescent="0.3">
      <c r="A97">
        <v>94</v>
      </c>
      <c r="B97" s="13">
        <v>45735</v>
      </c>
      <c r="D97" t="s">
        <v>1601</v>
      </c>
    </row>
    <row r="98" spans="1:4" x14ac:dyDescent="0.3">
      <c r="A98">
        <v>95</v>
      </c>
      <c r="B98" s="13">
        <v>45744</v>
      </c>
      <c r="D98" t="s">
        <v>1603</v>
      </c>
    </row>
    <row r="99" spans="1:4" x14ac:dyDescent="0.3">
      <c r="A99">
        <v>96</v>
      </c>
      <c r="B99" s="13">
        <v>45748</v>
      </c>
      <c r="C99" t="s">
        <v>1517</v>
      </c>
      <c r="D99" t="s">
        <v>1606</v>
      </c>
    </row>
    <row r="100" spans="1:4" x14ac:dyDescent="0.3">
      <c r="A100">
        <v>97</v>
      </c>
      <c r="B100" s="13">
        <v>45748</v>
      </c>
      <c r="C100" t="s">
        <v>1513</v>
      </c>
      <c r="D100" t="s">
        <v>1617</v>
      </c>
    </row>
    <row r="101" spans="1:4" x14ac:dyDescent="0.3">
      <c r="A101">
        <v>98</v>
      </c>
      <c r="B101" s="13">
        <v>45748</v>
      </c>
      <c r="C101" t="s">
        <v>1573</v>
      </c>
      <c r="D101" t="s">
        <v>1624</v>
      </c>
    </row>
    <row r="102" spans="1:4" x14ac:dyDescent="0.3">
      <c r="A102">
        <v>99</v>
      </c>
      <c r="B102" s="13">
        <v>45748</v>
      </c>
      <c r="C102" t="s">
        <v>1573</v>
      </c>
      <c r="D102" t="s">
        <v>1626</v>
      </c>
    </row>
    <row r="103" spans="1:4" x14ac:dyDescent="0.3">
      <c r="A103">
        <v>100</v>
      </c>
      <c r="B103" s="13">
        <v>45749</v>
      </c>
      <c r="C103" t="s">
        <v>1445</v>
      </c>
      <c r="D103" t="s">
        <v>1633</v>
      </c>
    </row>
    <row r="104" spans="1:4" x14ac:dyDescent="0.3">
      <c r="A104">
        <v>101</v>
      </c>
      <c r="B104" s="13">
        <v>45749</v>
      </c>
      <c r="C104" t="s">
        <v>1537</v>
      </c>
      <c r="D104" t="s">
        <v>1651</v>
      </c>
    </row>
    <row r="105" spans="1:4" x14ac:dyDescent="0.3">
      <c r="A105">
        <v>102</v>
      </c>
      <c r="B105" s="13">
        <v>45749</v>
      </c>
      <c r="C105" t="s">
        <v>1395</v>
      </c>
      <c r="D105" t="s">
        <v>1652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1653</v>
      </c>
    </row>
    <row r="107" spans="1:4" x14ac:dyDescent="0.3">
      <c r="A107">
        <v>104</v>
      </c>
      <c r="B107" s="13">
        <v>45749</v>
      </c>
      <c r="C107" t="s">
        <v>1654</v>
      </c>
      <c r="D107" t="s">
        <v>1658</v>
      </c>
    </row>
    <row r="108" spans="1:4" x14ac:dyDescent="0.3">
      <c r="A108">
        <v>105</v>
      </c>
      <c r="B108" s="13">
        <v>45749</v>
      </c>
      <c r="C108" t="s">
        <v>1659</v>
      </c>
      <c r="D108" t="s">
        <v>1661</v>
      </c>
    </row>
    <row r="109" spans="1:4" x14ac:dyDescent="0.3">
      <c r="A109">
        <v>106</v>
      </c>
      <c r="B109" s="13">
        <v>45749</v>
      </c>
      <c r="C109" t="s">
        <v>1537</v>
      </c>
      <c r="D109" t="s">
        <v>1663</v>
      </c>
    </row>
    <row r="110" spans="1:4" x14ac:dyDescent="0.3">
      <c r="A110">
        <v>107</v>
      </c>
      <c r="B110" s="13">
        <v>45750</v>
      </c>
      <c r="C110" t="s">
        <v>1445</v>
      </c>
      <c r="D110" t="s">
        <v>1665</v>
      </c>
    </row>
    <row r="111" spans="1:4" x14ac:dyDescent="0.3">
      <c r="A111">
        <v>108</v>
      </c>
      <c r="B111" s="13">
        <v>45750</v>
      </c>
      <c r="C111" t="s">
        <v>1667</v>
      </c>
      <c r="D111" t="s">
        <v>1671</v>
      </c>
    </row>
    <row r="112" spans="1:4" x14ac:dyDescent="0.3">
      <c r="A112">
        <v>109</v>
      </c>
      <c r="B112" s="13">
        <v>45750</v>
      </c>
      <c r="C112" t="s">
        <v>1672</v>
      </c>
      <c r="D112" t="s">
        <v>1673</v>
      </c>
    </row>
    <row r="113" spans="1:4" x14ac:dyDescent="0.3">
      <c r="A113">
        <v>110</v>
      </c>
      <c r="B113" s="13">
        <v>45750</v>
      </c>
      <c r="C113" t="s">
        <v>1440</v>
      </c>
      <c r="D113" t="s">
        <v>1682</v>
      </c>
    </row>
    <row r="114" spans="1:4" x14ac:dyDescent="0.3">
      <c r="A114">
        <v>111</v>
      </c>
      <c r="B114" s="13">
        <v>45751</v>
      </c>
      <c r="C114" t="s">
        <v>1374</v>
      </c>
      <c r="D114" t="s">
        <v>1688</v>
      </c>
    </row>
    <row r="115" spans="1:4" x14ac:dyDescent="0.3">
      <c r="A115">
        <v>112</v>
      </c>
      <c r="B115" s="13">
        <v>45751</v>
      </c>
      <c r="C115" t="s">
        <v>1465</v>
      </c>
      <c r="D115" t="s">
        <v>1692</v>
      </c>
    </row>
    <row r="116" spans="1:4" x14ac:dyDescent="0.3">
      <c r="A116">
        <v>113</v>
      </c>
      <c r="B116" s="13">
        <v>45751</v>
      </c>
      <c r="C116" t="s">
        <v>1718</v>
      </c>
      <c r="D116" t="s">
        <v>1721</v>
      </c>
    </row>
    <row r="117" spans="1:4" x14ac:dyDescent="0.3">
      <c r="A117">
        <v>114</v>
      </c>
      <c r="B117" s="13">
        <v>45751</v>
      </c>
      <c r="C117" t="s">
        <v>1718</v>
      </c>
      <c r="D117" t="s">
        <v>1722</v>
      </c>
    </row>
    <row r="118" spans="1:4" x14ac:dyDescent="0.3">
      <c r="A118">
        <v>115</v>
      </c>
      <c r="B118" s="13">
        <v>45751</v>
      </c>
      <c r="C118" t="s">
        <v>1718</v>
      </c>
      <c r="D118" t="s">
        <v>1725</v>
      </c>
    </row>
    <row r="119" spans="1:4" x14ac:dyDescent="0.3">
      <c r="A119">
        <v>116</v>
      </c>
      <c r="B119" s="13">
        <v>45752</v>
      </c>
      <c r="C119" t="s">
        <v>1537</v>
      </c>
      <c r="D119" t="s">
        <v>1741</v>
      </c>
    </row>
    <row r="120" spans="1:4" x14ac:dyDescent="0.3">
      <c r="A120">
        <v>117</v>
      </c>
      <c r="B120" s="13">
        <v>45752</v>
      </c>
      <c r="C120" t="s">
        <v>1395</v>
      </c>
      <c r="D120" t="s">
        <v>1745</v>
      </c>
    </row>
    <row r="121" spans="1:4" x14ac:dyDescent="0.3">
      <c r="A121">
        <v>118</v>
      </c>
      <c r="B121" s="13">
        <v>45754</v>
      </c>
      <c r="C121" t="s">
        <v>1743</v>
      </c>
      <c r="D121" t="s">
        <v>1746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1757</v>
      </c>
    </row>
    <row r="123" spans="1:4" x14ac:dyDescent="0.3">
      <c r="A123">
        <v>119</v>
      </c>
      <c r="B123" s="13">
        <v>45754</v>
      </c>
      <c r="C123" t="s">
        <v>1718</v>
      </c>
      <c r="D123" t="s">
        <v>1768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1789</v>
      </c>
    </row>
    <row r="125" spans="1:4" x14ac:dyDescent="0.3">
      <c r="A125">
        <v>121</v>
      </c>
      <c r="B125" s="13">
        <v>45754</v>
      </c>
      <c r="C125" t="s">
        <v>1786</v>
      </c>
      <c r="D125" t="s">
        <v>1793</v>
      </c>
    </row>
    <row r="126" spans="1:4" x14ac:dyDescent="0.3">
      <c r="A126">
        <v>122</v>
      </c>
      <c r="B126" s="13">
        <v>45754</v>
      </c>
      <c r="C126" t="s">
        <v>1718</v>
      </c>
      <c r="D126" t="s">
        <v>1794</v>
      </c>
    </row>
    <row r="127" spans="1:4" x14ac:dyDescent="0.3">
      <c r="A127">
        <v>123</v>
      </c>
      <c r="B127" s="13">
        <v>45754</v>
      </c>
      <c r="C127" t="s">
        <v>1395</v>
      </c>
      <c r="D127" t="s">
        <v>1795</v>
      </c>
    </row>
    <row r="128" spans="1:4" x14ac:dyDescent="0.3">
      <c r="A128">
        <v>124</v>
      </c>
      <c r="B128" s="13">
        <v>45755</v>
      </c>
      <c r="C128" t="s">
        <v>1445</v>
      </c>
      <c r="D128" t="s">
        <v>1800</v>
      </c>
    </row>
    <row r="129" spans="1:5" x14ac:dyDescent="0.3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1804</v>
      </c>
    </row>
    <row r="131" spans="1:5" x14ac:dyDescent="0.3">
      <c r="A131">
        <v>127</v>
      </c>
      <c r="B131" s="13">
        <v>45755</v>
      </c>
      <c r="C131" t="s">
        <v>1805</v>
      </c>
      <c r="D131" t="s">
        <v>1806</v>
      </c>
    </row>
    <row r="132" spans="1:5" x14ac:dyDescent="0.3">
      <c r="A132">
        <v>128</v>
      </c>
      <c r="B132" s="13">
        <v>45755</v>
      </c>
      <c r="C132" t="s">
        <v>1576</v>
      </c>
      <c r="D132" t="s">
        <v>1807</v>
      </c>
    </row>
    <row r="133" spans="1:5" x14ac:dyDescent="0.3">
      <c r="A133">
        <v>129</v>
      </c>
      <c r="B133" s="13">
        <v>45755</v>
      </c>
      <c r="C133" t="s">
        <v>1808</v>
      </c>
      <c r="D133" t="s">
        <v>1810</v>
      </c>
    </row>
    <row r="134" spans="1:5" x14ac:dyDescent="0.3">
      <c r="A134">
        <v>130</v>
      </c>
      <c r="B134" s="13">
        <v>45756</v>
      </c>
      <c r="C134" t="s">
        <v>1718</v>
      </c>
      <c r="D134" t="s">
        <v>1820</v>
      </c>
    </row>
    <row r="135" spans="1:5" x14ac:dyDescent="0.3">
      <c r="A135">
        <v>131</v>
      </c>
      <c r="B135" s="13">
        <v>45757</v>
      </c>
      <c r="C135" t="s">
        <v>1454</v>
      </c>
      <c r="D135" t="s">
        <v>1822</v>
      </c>
    </row>
    <row r="136" spans="1:5" x14ac:dyDescent="0.3">
      <c r="A136">
        <v>132</v>
      </c>
      <c r="B136" s="13">
        <v>45757</v>
      </c>
      <c r="C136" t="s">
        <v>1537</v>
      </c>
      <c r="D136" t="s">
        <v>1824</v>
      </c>
    </row>
    <row r="137" spans="1:5" x14ac:dyDescent="0.3">
      <c r="A137">
        <v>133</v>
      </c>
      <c r="B137" s="13">
        <v>45757</v>
      </c>
      <c r="C137" t="s">
        <v>1537</v>
      </c>
      <c r="D137" t="s">
        <v>1827</v>
      </c>
    </row>
    <row r="138" spans="1:5" x14ac:dyDescent="0.3">
      <c r="A138">
        <v>134</v>
      </c>
      <c r="B138" s="13">
        <v>45757</v>
      </c>
      <c r="C138" t="s">
        <v>1454</v>
      </c>
      <c r="D138" t="s">
        <v>1828</v>
      </c>
    </row>
    <row r="139" spans="1:5" x14ac:dyDescent="0.3">
      <c r="A139">
        <v>135</v>
      </c>
      <c r="B139" s="13">
        <v>45757</v>
      </c>
      <c r="C139" t="s">
        <v>1801</v>
      </c>
      <c r="D139" t="s">
        <v>1829</v>
      </c>
    </row>
    <row r="140" spans="1:5" x14ac:dyDescent="0.3">
      <c r="A140">
        <v>136</v>
      </c>
      <c r="B140" s="13">
        <v>45758</v>
      </c>
      <c r="C140" t="s">
        <v>1465</v>
      </c>
      <c r="D140" t="s">
        <v>1836</v>
      </c>
    </row>
    <row r="141" spans="1:5" x14ac:dyDescent="0.3">
      <c r="A141">
        <v>137</v>
      </c>
      <c r="B141" s="13">
        <v>45758</v>
      </c>
      <c r="C141" t="s">
        <v>1834</v>
      </c>
      <c r="D141" t="s">
        <v>1838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1839</v>
      </c>
    </row>
    <row r="143" spans="1:5" x14ac:dyDescent="0.3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1842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1844</v>
      </c>
    </row>
    <row r="146" spans="1:4" x14ac:dyDescent="0.3">
      <c r="A146">
        <v>142</v>
      </c>
      <c r="B146" s="13">
        <v>45759</v>
      </c>
      <c r="C146" t="s">
        <v>1843</v>
      </c>
      <c r="D146" t="s">
        <v>1849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1852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1853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1854</v>
      </c>
    </row>
    <row r="150" spans="1:4" x14ac:dyDescent="0.3">
      <c r="A150">
        <v>146</v>
      </c>
      <c r="B150" s="13">
        <v>45761</v>
      </c>
      <c r="C150" t="s">
        <v>1805</v>
      </c>
      <c r="D150" t="s">
        <v>1856</v>
      </c>
    </row>
    <row r="151" spans="1:4" x14ac:dyDescent="0.3">
      <c r="A151">
        <v>147</v>
      </c>
      <c r="B151" s="13">
        <v>45761</v>
      </c>
      <c r="C151" t="s">
        <v>1857</v>
      </c>
      <c r="D151" t="s">
        <v>1859</v>
      </c>
    </row>
    <row r="152" spans="1:4" x14ac:dyDescent="0.3">
      <c r="A152">
        <v>148</v>
      </c>
      <c r="B152" s="13">
        <v>45691</v>
      </c>
      <c r="C152" t="s">
        <v>1718</v>
      </c>
      <c r="D152" t="s">
        <v>1861</v>
      </c>
    </row>
    <row r="153" spans="1:4" x14ac:dyDescent="0.3">
      <c r="A153">
        <v>149</v>
      </c>
      <c r="B153" s="13">
        <v>45761</v>
      </c>
      <c r="C153" t="s">
        <v>1718</v>
      </c>
      <c r="D153" t="s">
        <v>1862</v>
      </c>
    </row>
    <row r="154" spans="1:4" x14ac:dyDescent="0.3">
      <c r="A154">
        <v>150</v>
      </c>
      <c r="B154" s="13">
        <v>45761</v>
      </c>
      <c r="C154" t="s">
        <v>1863</v>
      </c>
      <c r="D154" t="s">
        <v>1864</v>
      </c>
    </row>
    <row r="155" spans="1:4" x14ac:dyDescent="0.3">
      <c r="A155">
        <v>151</v>
      </c>
      <c r="B155" s="13">
        <v>45761</v>
      </c>
      <c r="C155" t="s">
        <v>1866</v>
      </c>
      <c r="D155" t="s">
        <v>1867</v>
      </c>
    </row>
    <row r="156" spans="1:4" x14ac:dyDescent="0.3">
      <c r="A156">
        <v>152</v>
      </c>
      <c r="B156" s="13">
        <v>45762</v>
      </c>
      <c r="C156" t="s">
        <v>1872</v>
      </c>
      <c r="D156" t="s">
        <v>1873</v>
      </c>
    </row>
    <row r="157" spans="1:4" x14ac:dyDescent="0.3">
      <c r="A157">
        <v>153</v>
      </c>
      <c r="B157" s="13">
        <v>45762</v>
      </c>
      <c r="C157" t="s">
        <v>1718</v>
      </c>
      <c r="D157" t="s">
        <v>1874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1875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1876</v>
      </c>
    </row>
    <row r="160" spans="1:4" x14ac:dyDescent="0.3">
      <c r="A160">
        <v>156</v>
      </c>
      <c r="B160" s="13">
        <v>45762</v>
      </c>
      <c r="C160" t="s">
        <v>1438</v>
      </c>
      <c r="D160" t="s">
        <v>1882</v>
      </c>
    </row>
    <row r="161" spans="1:5" x14ac:dyDescent="0.3">
      <c r="A161">
        <v>157</v>
      </c>
      <c r="B161" s="13">
        <v>45762</v>
      </c>
      <c r="C161" t="s">
        <v>1667</v>
      </c>
      <c r="D161" t="s">
        <v>1883</v>
      </c>
    </row>
    <row r="162" spans="1:5" x14ac:dyDescent="0.3">
      <c r="A162">
        <v>158</v>
      </c>
      <c r="B162" s="13">
        <v>45762</v>
      </c>
      <c r="C162" t="s">
        <v>1805</v>
      </c>
      <c r="D162" t="s">
        <v>1884</v>
      </c>
    </row>
    <row r="163" spans="1:5" x14ac:dyDescent="0.3">
      <c r="A163">
        <v>159</v>
      </c>
      <c r="B163" s="13">
        <v>45763</v>
      </c>
      <c r="C163" t="s">
        <v>1886</v>
      </c>
      <c r="D163" t="s">
        <v>2113</v>
      </c>
    </row>
    <row r="164" spans="1:5" x14ac:dyDescent="0.3">
      <c r="A164">
        <v>160</v>
      </c>
      <c r="B164" s="13">
        <v>45763</v>
      </c>
      <c r="C164" t="s">
        <v>1890</v>
      </c>
      <c r="D164" t="s">
        <v>1891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1892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 x14ac:dyDescent="0.3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 x14ac:dyDescent="0.3">
      <c r="A168">
        <v>164</v>
      </c>
      <c r="B168" s="13">
        <v>45763</v>
      </c>
      <c r="C168" t="s">
        <v>1576</v>
      </c>
      <c r="D168" t="s">
        <v>1899</v>
      </c>
    </row>
    <row r="169" spans="1:5" x14ac:dyDescent="0.3">
      <c r="A169">
        <v>165</v>
      </c>
      <c r="B169" s="13">
        <v>45764</v>
      </c>
      <c r="C169" t="s">
        <v>1395</v>
      </c>
      <c r="D169" t="s">
        <v>1913</v>
      </c>
    </row>
    <row r="170" spans="1:5" x14ac:dyDescent="0.3">
      <c r="A170">
        <v>166</v>
      </c>
      <c r="B170" s="13">
        <v>45764</v>
      </c>
      <c r="C170" t="s">
        <v>1537</v>
      </c>
      <c r="D170" t="s">
        <v>1916</v>
      </c>
    </row>
    <row r="171" spans="1:5" x14ac:dyDescent="0.3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 x14ac:dyDescent="0.3">
      <c r="A172">
        <v>168</v>
      </c>
      <c r="B172" s="13">
        <v>45765</v>
      </c>
      <c r="C172" t="s">
        <v>1667</v>
      </c>
      <c r="D172" t="s">
        <v>1921</v>
      </c>
    </row>
    <row r="173" spans="1:5" x14ac:dyDescent="0.3">
      <c r="A173">
        <v>169</v>
      </c>
      <c r="B173" s="13">
        <v>45765</v>
      </c>
      <c r="C173" t="s">
        <v>1718</v>
      </c>
      <c r="D173" t="s">
        <v>1923</v>
      </c>
    </row>
    <row r="174" spans="1:5" x14ac:dyDescent="0.3">
      <c r="A174">
        <v>170</v>
      </c>
      <c r="B174" s="13">
        <v>45765</v>
      </c>
      <c r="C174" t="s">
        <v>1594</v>
      </c>
      <c r="D174" t="s">
        <v>1924</v>
      </c>
    </row>
    <row r="175" spans="1:5" x14ac:dyDescent="0.3">
      <c r="A175">
        <v>171</v>
      </c>
      <c r="B175" s="13">
        <v>45765</v>
      </c>
      <c r="C175" t="s">
        <v>1463</v>
      </c>
      <c r="D175" t="s">
        <v>1925</v>
      </c>
    </row>
    <row r="176" spans="1:5" x14ac:dyDescent="0.3">
      <c r="A176">
        <v>172</v>
      </c>
      <c r="B176" s="13">
        <v>45765</v>
      </c>
      <c r="C176" t="s">
        <v>1463</v>
      </c>
      <c r="D176" t="s">
        <v>1926</v>
      </c>
    </row>
    <row r="177" spans="1:5" x14ac:dyDescent="0.3">
      <c r="A177">
        <v>173</v>
      </c>
      <c r="B177" s="13">
        <v>45768</v>
      </c>
      <c r="C177" t="s">
        <v>1927</v>
      </c>
      <c r="D177" t="s">
        <v>1928</v>
      </c>
    </row>
    <row r="178" spans="1:5" x14ac:dyDescent="0.3">
      <c r="A178">
        <v>174</v>
      </c>
      <c r="B178" s="13">
        <v>45768</v>
      </c>
      <c r="C178" t="s">
        <v>1938</v>
      </c>
      <c r="D178" t="s">
        <v>1939</v>
      </c>
    </row>
    <row r="179" spans="1:5" x14ac:dyDescent="0.3">
      <c r="A179">
        <v>175</v>
      </c>
      <c r="B179" s="13">
        <v>45768</v>
      </c>
      <c r="C179" t="s">
        <v>1938</v>
      </c>
      <c r="D179" t="s">
        <v>1940</v>
      </c>
    </row>
    <row r="180" spans="1:5" x14ac:dyDescent="0.3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 x14ac:dyDescent="0.3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 x14ac:dyDescent="0.3">
      <c r="A182">
        <v>178</v>
      </c>
      <c r="B182" s="13">
        <v>45768</v>
      </c>
      <c r="C182" t="s">
        <v>1573</v>
      </c>
      <c r="D182" t="s">
        <v>1944</v>
      </c>
    </row>
    <row r="183" spans="1:5" x14ac:dyDescent="0.3">
      <c r="A183">
        <v>179</v>
      </c>
      <c r="B183" s="13">
        <v>45768</v>
      </c>
      <c r="C183" t="s">
        <v>1718</v>
      </c>
      <c r="D183" t="s">
        <v>1950</v>
      </c>
    </row>
    <row r="184" spans="1:5" x14ac:dyDescent="0.3">
      <c r="A184">
        <v>180</v>
      </c>
      <c r="B184" s="13">
        <v>45769</v>
      </c>
      <c r="C184" t="s">
        <v>1445</v>
      </c>
      <c r="D184" t="s">
        <v>1954</v>
      </c>
    </row>
    <row r="185" spans="1:5" x14ac:dyDescent="0.3">
      <c r="A185">
        <v>181</v>
      </c>
      <c r="B185" s="13">
        <v>45770</v>
      </c>
      <c r="C185" t="s">
        <v>1594</v>
      </c>
      <c r="D185" t="s">
        <v>1956</v>
      </c>
    </row>
    <row r="186" spans="1:5" x14ac:dyDescent="0.3">
      <c r="A186">
        <v>182</v>
      </c>
      <c r="B186" s="13">
        <v>45770</v>
      </c>
      <c r="C186" t="s">
        <v>1957</v>
      </c>
      <c r="D186" t="s">
        <v>1960</v>
      </c>
    </row>
    <row r="187" spans="1:5" x14ac:dyDescent="0.3">
      <c r="A187">
        <v>183</v>
      </c>
      <c r="B187" s="13">
        <v>45770</v>
      </c>
      <c r="C187" t="s">
        <v>1957</v>
      </c>
      <c r="D187" t="s">
        <v>1963</v>
      </c>
    </row>
    <row r="188" spans="1:5" x14ac:dyDescent="0.3">
      <c r="A188">
        <v>184</v>
      </c>
      <c r="B188" s="13">
        <v>45771</v>
      </c>
      <c r="C188" t="s">
        <v>1550</v>
      </c>
      <c r="D188" t="s">
        <v>1965</v>
      </c>
    </row>
    <row r="189" spans="1:5" x14ac:dyDescent="0.3">
      <c r="A189">
        <v>185</v>
      </c>
      <c r="B189" s="13">
        <v>45771</v>
      </c>
      <c r="C189" t="s">
        <v>1440</v>
      </c>
      <c r="D189" t="s">
        <v>1968</v>
      </c>
    </row>
    <row r="190" spans="1:5" x14ac:dyDescent="0.3">
      <c r="A190">
        <v>186</v>
      </c>
      <c r="B190" s="13">
        <v>45772</v>
      </c>
      <c r="C190" t="s">
        <v>1387</v>
      </c>
      <c r="D190" t="s">
        <v>1972</v>
      </c>
    </row>
    <row r="191" spans="1:5" x14ac:dyDescent="0.3">
      <c r="A191">
        <v>187</v>
      </c>
      <c r="B191" s="13">
        <v>45772</v>
      </c>
      <c r="C191" t="s">
        <v>1973</v>
      </c>
      <c r="D191" t="s">
        <v>1975</v>
      </c>
    </row>
    <row r="192" spans="1:5" x14ac:dyDescent="0.3">
      <c r="A192">
        <v>188</v>
      </c>
      <c r="B192" s="13">
        <v>45772</v>
      </c>
      <c r="C192" t="s">
        <v>1976</v>
      </c>
      <c r="D192" t="s">
        <v>1977</v>
      </c>
    </row>
    <row r="193" spans="1:4" x14ac:dyDescent="0.3">
      <c r="A193">
        <v>189</v>
      </c>
      <c r="B193" s="13">
        <v>45772</v>
      </c>
      <c r="C193" t="s">
        <v>1786</v>
      </c>
      <c r="D193" t="s">
        <v>1978</v>
      </c>
    </row>
    <row r="194" spans="1:4" x14ac:dyDescent="0.3">
      <c r="A194">
        <v>190</v>
      </c>
      <c r="B194" s="13">
        <v>45772</v>
      </c>
      <c r="C194" t="s">
        <v>1786</v>
      </c>
      <c r="D194" t="s">
        <v>1980</v>
      </c>
    </row>
    <row r="195" spans="1:4" x14ac:dyDescent="0.3">
      <c r="A195">
        <v>191</v>
      </c>
      <c r="B195" s="13">
        <v>45772</v>
      </c>
      <c r="C195" t="s">
        <v>1440</v>
      </c>
      <c r="D195" t="s">
        <v>1982</v>
      </c>
    </row>
    <row r="196" spans="1:4" x14ac:dyDescent="0.3">
      <c r="A196">
        <v>192</v>
      </c>
      <c r="B196" s="13">
        <v>45772</v>
      </c>
      <c r="C196" t="s">
        <v>1805</v>
      </c>
      <c r="D196" t="s">
        <v>1983</v>
      </c>
    </row>
    <row r="197" spans="1:4" x14ac:dyDescent="0.3">
      <c r="A197">
        <v>193</v>
      </c>
      <c r="B197" s="13">
        <v>45775</v>
      </c>
      <c r="C197" t="s">
        <v>1517</v>
      </c>
      <c r="D197" t="s">
        <v>1985</v>
      </c>
    </row>
    <row r="198" spans="1:4" x14ac:dyDescent="0.3">
      <c r="A198">
        <v>194</v>
      </c>
      <c r="B198" s="13">
        <v>45775</v>
      </c>
      <c r="C198" t="s">
        <v>1440</v>
      </c>
      <c r="D198" t="s">
        <v>1986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1987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1989</v>
      </c>
    </row>
    <row r="201" spans="1:4" x14ac:dyDescent="0.3">
      <c r="A201">
        <v>197</v>
      </c>
      <c r="B201" s="13">
        <v>45775</v>
      </c>
      <c r="C201" t="s">
        <v>1528</v>
      </c>
      <c r="D201" t="s">
        <v>1991</v>
      </c>
    </row>
    <row r="202" spans="1:4" x14ac:dyDescent="0.3">
      <c r="A202">
        <v>198</v>
      </c>
      <c r="B202" s="13">
        <v>45775</v>
      </c>
      <c r="C202" t="s">
        <v>1976</v>
      </c>
      <c r="D202" t="s">
        <v>1993</v>
      </c>
    </row>
    <row r="203" spans="1:4" x14ac:dyDescent="0.3">
      <c r="A203">
        <v>199</v>
      </c>
      <c r="B203" s="13">
        <v>45776</v>
      </c>
      <c r="C203" t="s">
        <v>1537</v>
      </c>
      <c r="D203" t="s">
        <v>2007</v>
      </c>
    </row>
    <row r="204" spans="1:4" x14ac:dyDescent="0.3">
      <c r="A204">
        <v>200</v>
      </c>
      <c r="B204" s="13">
        <v>45776</v>
      </c>
      <c r="C204" t="s">
        <v>2011</v>
      </c>
      <c r="D204" t="s">
        <v>2012</v>
      </c>
    </row>
    <row r="205" spans="1:4" x14ac:dyDescent="0.3">
      <c r="A205">
        <v>201</v>
      </c>
      <c r="B205" s="13">
        <v>45776</v>
      </c>
      <c r="C205" t="s">
        <v>1718</v>
      </c>
      <c r="D205" t="s">
        <v>2017</v>
      </c>
    </row>
    <row r="206" spans="1:4" x14ac:dyDescent="0.3">
      <c r="A206">
        <v>202</v>
      </c>
      <c r="B206" s="13">
        <v>45776</v>
      </c>
      <c r="C206" t="s">
        <v>2020</v>
      </c>
      <c r="D206" t="s">
        <v>2021</v>
      </c>
    </row>
    <row r="207" spans="1:4" x14ac:dyDescent="0.3">
      <c r="A207">
        <v>203</v>
      </c>
      <c r="B207" s="13">
        <v>45776</v>
      </c>
      <c r="C207" t="s">
        <v>1976</v>
      </c>
      <c r="D207" t="s">
        <v>2022</v>
      </c>
    </row>
    <row r="208" spans="1:4" x14ac:dyDescent="0.3">
      <c r="A208">
        <v>204</v>
      </c>
      <c r="B208" s="13">
        <v>45776</v>
      </c>
      <c r="C208" t="s">
        <v>1743</v>
      </c>
      <c r="D208" t="s">
        <v>2024</v>
      </c>
    </row>
    <row r="209" spans="1:4" x14ac:dyDescent="0.3">
      <c r="A209">
        <v>205</v>
      </c>
      <c r="B209" s="13">
        <v>45776</v>
      </c>
      <c r="C209" t="s">
        <v>1976</v>
      </c>
      <c r="D209" t="s">
        <v>2026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2027</v>
      </c>
    </row>
    <row r="211" spans="1:4" x14ac:dyDescent="0.3">
      <c r="A211">
        <v>207</v>
      </c>
      <c r="B211" s="13">
        <v>45777</v>
      </c>
      <c r="C211" t="s">
        <v>1440</v>
      </c>
      <c r="D211" t="s">
        <v>2029</v>
      </c>
    </row>
    <row r="212" spans="1:4" x14ac:dyDescent="0.3">
      <c r="A212">
        <v>208</v>
      </c>
      <c r="B212" s="13">
        <v>45777</v>
      </c>
      <c r="C212" t="s">
        <v>2030</v>
      </c>
      <c r="D212" t="s">
        <v>2034</v>
      </c>
    </row>
    <row r="213" spans="1:4" x14ac:dyDescent="0.3">
      <c r="A213">
        <v>209</v>
      </c>
      <c r="B213" s="13">
        <v>45777</v>
      </c>
      <c r="C213" t="s">
        <v>2035</v>
      </c>
      <c r="D213" t="s">
        <v>2038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2040</v>
      </c>
    </row>
    <row r="215" spans="1:4" x14ac:dyDescent="0.3">
      <c r="A215">
        <v>211</v>
      </c>
      <c r="B215" s="13">
        <v>45777</v>
      </c>
      <c r="C215" t="s">
        <v>1573</v>
      </c>
      <c r="D215" t="s">
        <v>2041</v>
      </c>
    </row>
    <row r="216" spans="1:4" x14ac:dyDescent="0.3">
      <c r="A216">
        <v>212</v>
      </c>
      <c r="B216" s="13">
        <v>45777</v>
      </c>
      <c r="C216" t="s">
        <v>2042</v>
      </c>
      <c r="D216" t="s">
        <v>2046</v>
      </c>
    </row>
    <row r="217" spans="1:4" x14ac:dyDescent="0.3">
      <c r="A217">
        <v>213</v>
      </c>
      <c r="B217" s="13">
        <v>45777</v>
      </c>
      <c r="C217" t="s">
        <v>1550</v>
      </c>
      <c r="D217" t="s">
        <v>2047</v>
      </c>
    </row>
    <row r="218" spans="1:4" x14ac:dyDescent="0.3">
      <c r="A218">
        <v>214</v>
      </c>
      <c r="B218" s="13">
        <v>45775</v>
      </c>
      <c r="C218" t="s">
        <v>1976</v>
      </c>
      <c r="D218" t="s">
        <v>2048</v>
      </c>
    </row>
    <row r="219" spans="1:4" x14ac:dyDescent="0.3">
      <c r="A219">
        <v>215</v>
      </c>
      <c r="B219" s="13">
        <v>45778</v>
      </c>
      <c r="C219" t="s">
        <v>1576</v>
      </c>
      <c r="D219" t="s">
        <v>2057</v>
      </c>
    </row>
    <row r="220" spans="1:4" x14ac:dyDescent="0.3">
      <c r="A220">
        <v>216</v>
      </c>
      <c r="B220" s="13">
        <v>45777</v>
      </c>
      <c r="C220" t="s">
        <v>1718</v>
      </c>
      <c r="D220" t="s">
        <v>2059</v>
      </c>
    </row>
    <row r="221" spans="1:4" x14ac:dyDescent="0.3">
      <c r="A221">
        <v>217</v>
      </c>
      <c r="B221" s="13">
        <v>45779</v>
      </c>
      <c r="C221" t="s">
        <v>1576</v>
      </c>
      <c r="D221" t="s">
        <v>2060</v>
      </c>
    </row>
    <row r="222" spans="1:4" x14ac:dyDescent="0.3">
      <c r="A222">
        <v>218</v>
      </c>
      <c r="B222" s="13">
        <v>45779</v>
      </c>
      <c r="C222" t="s">
        <v>1973</v>
      </c>
      <c r="D222" t="s">
        <v>2061</v>
      </c>
    </row>
    <row r="223" spans="1:4" x14ac:dyDescent="0.3">
      <c r="A223">
        <v>219</v>
      </c>
      <c r="B223" s="13">
        <v>45779</v>
      </c>
      <c r="C223" t="s">
        <v>1395</v>
      </c>
      <c r="D223" t="s">
        <v>2062</v>
      </c>
    </row>
    <row r="224" spans="1:4" x14ac:dyDescent="0.3">
      <c r="A224">
        <v>220</v>
      </c>
      <c r="B224" s="13">
        <v>45779</v>
      </c>
      <c r="C224" t="s">
        <v>1395</v>
      </c>
      <c r="D224" t="s">
        <v>2063</v>
      </c>
    </row>
    <row r="225" spans="1:4" x14ac:dyDescent="0.3">
      <c r="A225">
        <v>221</v>
      </c>
      <c r="B225" s="13">
        <v>45780</v>
      </c>
      <c r="C225" t="s">
        <v>1957</v>
      </c>
      <c r="D225" t="s">
        <v>2072</v>
      </c>
    </row>
    <row r="226" spans="1:4" x14ac:dyDescent="0.3">
      <c r="A226">
        <v>222</v>
      </c>
      <c r="B226" s="13">
        <v>45782</v>
      </c>
      <c r="C226" t="s">
        <v>2074</v>
      </c>
      <c r="D226" t="s">
        <v>2075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2076</v>
      </c>
    </row>
    <row r="228" spans="1:4" x14ac:dyDescent="0.3">
      <c r="A228">
        <v>224</v>
      </c>
      <c r="B228" s="13">
        <v>45783</v>
      </c>
      <c r="C228" t="s">
        <v>1537</v>
      </c>
      <c r="D228" t="s">
        <v>2077</v>
      </c>
    </row>
    <row r="229" spans="1:4" x14ac:dyDescent="0.3">
      <c r="A229">
        <v>225</v>
      </c>
      <c r="B229" s="13">
        <v>45783</v>
      </c>
      <c r="C229" t="s">
        <v>1395</v>
      </c>
      <c r="D229" t="s">
        <v>2078</v>
      </c>
    </row>
    <row r="230" spans="1:4" x14ac:dyDescent="0.3">
      <c r="A230">
        <v>226</v>
      </c>
      <c r="B230" s="13">
        <v>45783</v>
      </c>
      <c r="C230" t="s">
        <v>1465</v>
      </c>
      <c r="D230" t="s">
        <v>2079</v>
      </c>
    </row>
    <row r="231" spans="1:4" x14ac:dyDescent="0.3">
      <c r="A231">
        <v>227</v>
      </c>
      <c r="B231" s="13">
        <v>45783</v>
      </c>
      <c r="C231" t="s">
        <v>1395</v>
      </c>
      <c r="D231" t="s">
        <v>2081</v>
      </c>
    </row>
    <row r="232" spans="1:4" x14ac:dyDescent="0.3">
      <c r="A232">
        <v>228</v>
      </c>
      <c r="B232" s="13">
        <v>45784</v>
      </c>
      <c r="C232" t="s">
        <v>1302</v>
      </c>
      <c r="D232" t="s">
        <v>2082</v>
      </c>
    </row>
    <row r="233" spans="1:4" x14ac:dyDescent="0.3">
      <c r="A233">
        <v>229</v>
      </c>
      <c r="B233" s="13">
        <v>45784</v>
      </c>
      <c r="C233" t="s">
        <v>2085</v>
      </c>
      <c r="D233" t="s">
        <v>2086</v>
      </c>
    </row>
    <row r="234" spans="1:4" x14ac:dyDescent="0.3">
      <c r="A234">
        <v>230</v>
      </c>
      <c r="B234" s="13">
        <v>45784</v>
      </c>
      <c r="C234" t="s">
        <v>2085</v>
      </c>
      <c r="D234" t="s">
        <v>2088</v>
      </c>
    </row>
    <row r="235" spans="1:4" x14ac:dyDescent="0.3">
      <c r="A235">
        <v>231</v>
      </c>
      <c r="B235" s="13">
        <v>45784</v>
      </c>
      <c r="C235" t="s">
        <v>2085</v>
      </c>
      <c r="D235" t="s">
        <v>2089</v>
      </c>
    </row>
    <row r="236" spans="1:4" x14ac:dyDescent="0.3">
      <c r="A236">
        <v>232</v>
      </c>
      <c r="B236" s="13">
        <v>45784</v>
      </c>
      <c r="C236" t="s">
        <v>1395</v>
      </c>
      <c r="D236" t="s">
        <v>2090</v>
      </c>
    </row>
    <row r="237" spans="1:4" x14ac:dyDescent="0.3">
      <c r="A237">
        <v>233</v>
      </c>
      <c r="B237" s="13">
        <v>45784</v>
      </c>
      <c r="C237" t="s">
        <v>2085</v>
      </c>
      <c r="D237" t="s">
        <v>2095</v>
      </c>
    </row>
    <row r="238" spans="1:4" x14ac:dyDescent="0.3">
      <c r="A238">
        <v>234</v>
      </c>
      <c r="B238" s="13">
        <v>45784</v>
      </c>
      <c r="C238" t="s">
        <v>2091</v>
      </c>
      <c r="D238" t="s">
        <v>2096</v>
      </c>
    </row>
    <row r="239" spans="1:4" x14ac:dyDescent="0.3">
      <c r="A239">
        <v>235</v>
      </c>
      <c r="B239" s="13">
        <v>45785</v>
      </c>
      <c r="C239" t="s">
        <v>2097</v>
      </c>
      <c r="D239" t="s">
        <v>2101</v>
      </c>
    </row>
    <row r="240" spans="1:4" x14ac:dyDescent="0.3">
      <c r="A240">
        <v>236</v>
      </c>
      <c r="B240" s="13">
        <v>45785</v>
      </c>
      <c r="C240" t="s">
        <v>1718</v>
      </c>
      <c r="D240" t="s">
        <v>2102</v>
      </c>
    </row>
    <row r="241" spans="1:4" x14ac:dyDescent="0.3">
      <c r="A241">
        <v>237</v>
      </c>
      <c r="B241" s="13">
        <v>45786</v>
      </c>
      <c r="C241" t="s">
        <v>1302</v>
      </c>
      <c r="D241" t="s">
        <v>2106</v>
      </c>
    </row>
    <row r="242" spans="1:4" x14ac:dyDescent="0.3">
      <c r="A242">
        <v>238</v>
      </c>
      <c r="B242" s="13">
        <v>45786</v>
      </c>
      <c r="C242" t="s">
        <v>2011</v>
      </c>
      <c r="D242" t="s">
        <v>2107</v>
      </c>
    </row>
    <row r="243" spans="1:4" x14ac:dyDescent="0.3">
      <c r="A243">
        <v>239</v>
      </c>
      <c r="B243" s="13">
        <v>45786</v>
      </c>
      <c r="C243" t="s">
        <v>2109</v>
      </c>
      <c r="D243" t="s">
        <v>2110</v>
      </c>
    </row>
    <row r="244" spans="1:4" x14ac:dyDescent="0.3">
      <c r="A244">
        <v>240</v>
      </c>
      <c r="B244" s="13">
        <v>45786</v>
      </c>
      <c r="C244" t="s">
        <v>2109</v>
      </c>
      <c r="D244" t="s">
        <v>2111</v>
      </c>
    </row>
    <row r="245" spans="1:4" x14ac:dyDescent="0.3">
      <c r="A245">
        <v>241</v>
      </c>
      <c r="B245" s="13">
        <v>45789</v>
      </c>
      <c r="C245" t="s">
        <v>2115</v>
      </c>
      <c r="D245" t="s">
        <v>2118</v>
      </c>
    </row>
    <row r="246" spans="1:4" x14ac:dyDescent="0.3">
      <c r="A246">
        <v>242</v>
      </c>
      <c r="B246" s="13">
        <v>45789</v>
      </c>
      <c r="C246" t="s">
        <v>1440</v>
      </c>
      <c r="D246" t="s">
        <v>2119</v>
      </c>
    </row>
    <row r="247" spans="1:4" x14ac:dyDescent="0.3">
      <c r="A247">
        <v>243</v>
      </c>
      <c r="B247" s="13">
        <v>45789</v>
      </c>
      <c r="C247" t="s">
        <v>1973</v>
      </c>
      <c r="D247" t="s">
        <v>2120</v>
      </c>
    </row>
    <row r="248" spans="1:4" x14ac:dyDescent="0.3">
      <c r="A248">
        <v>244</v>
      </c>
      <c r="B248" s="13">
        <v>45789</v>
      </c>
      <c r="C248" t="s">
        <v>1594</v>
      </c>
      <c r="D248" t="s">
        <v>2121</v>
      </c>
    </row>
    <row r="249" spans="1:4" x14ac:dyDescent="0.3">
      <c r="A249">
        <v>245</v>
      </c>
      <c r="B249" s="13">
        <v>45789</v>
      </c>
      <c r="C249" t="s">
        <v>1450</v>
      </c>
      <c r="D249" t="s">
        <v>2124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2126</v>
      </c>
    </row>
    <row r="251" spans="1:4" x14ac:dyDescent="0.3">
      <c r="A251">
        <v>247</v>
      </c>
      <c r="B251" s="13">
        <v>45789</v>
      </c>
      <c r="C251" t="s">
        <v>2129</v>
      </c>
      <c r="D251" t="s">
        <v>2132</v>
      </c>
    </row>
    <row r="252" spans="1:4" x14ac:dyDescent="0.3">
      <c r="A252">
        <v>248</v>
      </c>
      <c r="B252" s="13">
        <v>45789</v>
      </c>
      <c r="C252" t="s">
        <v>1395</v>
      </c>
      <c r="D252" t="s">
        <v>2134</v>
      </c>
    </row>
    <row r="253" spans="1:4" x14ac:dyDescent="0.3">
      <c r="A253">
        <v>249</v>
      </c>
      <c r="B253" s="13">
        <v>45789</v>
      </c>
      <c r="C253" t="s">
        <v>1465</v>
      </c>
      <c r="D253" t="s">
        <v>2135</v>
      </c>
    </row>
    <row r="254" spans="1:4" x14ac:dyDescent="0.3">
      <c r="A254">
        <v>250</v>
      </c>
      <c r="B254" s="13">
        <v>45790</v>
      </c>
      <c r="C254" t="s">
        <v>1445</v>
      </c>
      <c r="D254" t="s">
        <v>2137</v>
      </c>
    </row>
    <row r="255" spans="1:4" x14ac:dyDescent="0.3">
      <c r="A255">
        <v>251</v>
      </c>
      <c r="B255" s="13">
        <v>45790</v>
      </c>
      <c r="C255" t="s">
        <v>1927</v>
      </c>
      <c r="D255" t="s">
        <v>2138</v>
      </c>
    </row>
    <row r="256" spans="1:4" x14ac:dyDescent="0.3">
      <c r="A256">
        <v>252</v>
      </c>
      <c r="B256" s="13">
        <v>45790</v>
      </c>
      <c r="C256" t="s">
        <v>1465</v>
      </c>
      <c r="D256" t="s">
        <v>2139</v>
      </c>
    </row>
    <row r="257" spans="1:4" x14ac:dyDescent="0.3">
      <c r="A257">
        <v>253</v>
      </c>
      <c r="B257" s="13">
        <v>45790</v>
      </c>
      <c r="C257" t="s">
        <v>1786</v>
      </c>
      <c r="D257" t="s">
        <v>2140</v>
      </c>
    </row>
    <row r="258" spans="1:4" x14ac:dyDescent="0.3">
      <c r="A258">
        <v>254</v>
      </c>
      <c r="B258" s="13">
        <v>45790</v>
      </c>
      <c r="C258" t="s">
        <v>2141</v>
      </c>
      <c r="D258" t="s">
        <v>2142</v>
      </c>
    </row>
    <row r="259" spans="1:4" x14ac:dyDescent="0.3">
      <c r="A259">
        <v>255</v>
      </c>
      <c r="B259" s="13">
        <v>45790</v>
      </c>
      <c r="C259" t="s">
        <v>1872</v>
      </c>
      <c r="D259" t="s">
        <v>2143</v>
      </c>
    </row>
    <row r="260" spans="1:4" x14ac:dyDescent="0.3">
      <c r="A260">
        <v>256</v>
      </c>
      <c r="B260" s="13">
        <v>45790</v>
      </c>
      <c r="C260" t="s">
        <v>1395</v>
      </c>
      <c r="D260" t="s">
        <v>2150</v>
      </c>
    </row>
    <row r="261" spans="1:4" x14ac:dyDescent="0.3">
      <c r="A261">
        <v>257</v>
      </c>
      <c r="B261" s="13">
        <v>45790</v>
      </c>
      <c r="C261" t="s">
        <v>1302</v>
      </c>
      <c r="D261" t="s">
        <v>2153</v>
      </c>
    </row>
    <row r="262" spans="1:4" x14ac:dyDescent="0.3">
      <c r="A262">
        <v>258</v>
      </c>
      <c r="B262" s="13">
        <v>45790</v>
      </c>
      <c r="C262" t="s">
        <v>1667</v>
      </c>
      <c r="D262" t="s">
        <v>2155</v>
      </c>
    </row>
    <row r="263" spans="1:4" x14ac:dyDescent="0.3">
      <c r="A263">
        <v>259</v>
      </c>
      <c r="B263" s="13">
        <v>45790</v>
      </c>
      <c r="C263" t="s">
        <v>1374</v>
      </c>
      <c r="D263" t="s">
        <v>2157</v>
      </c>
    </row>
    <row r="264" spans="1:4" x14ac:dyDescent="0.3">
      <c r="A264">
        <v>260</v>
      </c>
      <c r="B264" s="13">
        <v>45791</v>
      </c>
      <c r="C264" t="s">
        <v>1718</v>
      </c>
      <c r="D264" t="s">
        <v>2161</v>
      </c>
    </row>
    <row r="265" spans="1:4" x14ac:dyDescent="0.3">
      <c r="A265">
        <v>261</v>
      </c>
      <c r="B265" s="13">
        <v>45791</v>
      </c>
      <c r="C265" t="s">
        <v>2167</v>
      </c>
      <c r="D265" t="s">
        <v>2169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2170</v>
      </c>
    </row>
    <row r="267" spans="1:4" x14ac:dyDescent="0.3">
      <c r="A267">
        <v>263</v>
      </c>
      <c r="B267" s="13">
        <v>45791</v>
      </c>
      <c r="C267" t="s">
        <v>1786</v>
      </c>
      <c r="D267" t="s">
        <v>2172</v>
      </c>
    </row>
    <row r="268" spans="1:4" x14ac:dyDescent="0.3">
      <c r="A268">
        <v>264</v>
      </c>
      <c r="B268" s="13">
        <v>45791</v>
      </c>
      <c r="C268" t="s">
        <v>1594</v>
      </c>
      <c r="D268" t="s">
        <v>2173</v>
      </c>
    </row>
    <row r="269" spans="1:4" x14ac:dyDescent="0.3">
      <c r="A269">
        <v>265</v>
      </c>
      <c r="B269" s="13">
        <v>45792</v>
      </c>
      <c r="C269" t="s">
        <v>1576</v>
      </c>
      <c r="D269" t="s">
        <v>2204</v>
      </c>
    </row>
    <row r="270" spans="1:4" x14ac:dyDescent="0.3">
      <c r="A270">
        <v>266</v>
      </c>
      <c r="B270" s="13">
        <v>45792</v>
      </c>
      <c r="C270" t="s">
        <v>2085</v>
      </c>
      <c r="D270" t="s">
        <v>2205</v>
      </c>
    </row>
    <row r="271" spans="1:4" x14ac:dyDescent="0.3">
      <c r="A271">
        <v>267</v>
      </c>
      <c r="B271" s="13">
        <v>45792</v>
      </c>
      <c r="C271" t="s">
        <v>1537</v>
      </c>
      <c r="D271" t="s">
        <v>2206</v>
      </c>
    </row>
    <row r="272" spans="1:4" x14ac:dyDescent="0.3">
      <c r="A272">
        <v>268</v>
      </c>
      <c r="B272" s="13">
        <v>45792</v>
      </c>
      <c r="C272" t="s">
        <v>1743</v>
      </c>
      <c r="D272" t="s">
        <v>2208</v>
      </c>
    </row>
    <row r="273" spans="1:5" x14ac:dyDescent="0.3">
      <c r="A273">
        <v>269</v>
      </c>
      <c r="B273" s="13">
        <v>45792</v>
      </c>
      <c r="C273" t="s">
        <v>1743</v>
      </c>
      <c r="D273" t="s">
        <v>2210</v>
      </c>
    </row>
    <row r="274" spans="1:5" x14ac:dyDescent="0.3">
      <c r="A274">
        <v>270</v>
      </c>
      <c r="B274" s="13">
        <v>45792</v>
      </c>
      <c r="C274" t="s">
        <v>1866</v>
      </c>
      <c r="D274" t="s">
        <v>2214</v>
      </c>
    </row>
    <row r="275" spans="1:5" x14ac:dyDescent="0.3">
      <c r="A275">
        <v>271</v>
      </c>
      <c r="B275" s="13">
        <v>45793</v>
      </c>
      <c r="C275" t="s">
        <v>2091</v>
      </c>
      <c r="D275" t="s">
        <v>2222</v>
      </c>
    </row>
    <row r="276" spans="1:5" x14ac:dyDescent="0.3">
      <c r="A276">
        <v>272</v>
      </c>
      <c r="B276" s="13">
        <v>45793</v>
      </c>
      <c r="C276" t="s">
        <v>1743</v>
      </c>
      <c r="D276" t="s">
        <v>2223</v>
      </c>
    </row>
    <row r="277" spans="1:5" x14ac:dyDescent="0.3">
      <c r="A277">
        <v>273</v>
      </c>
      <c r="B277" s="13">
        <v>45793</v>
      </c>
      <c r="C277" t="s">
        <v>1866</v>
      </c>
      <c r="D277" t="s">
        <v>2225</v>
      </c>
    </row>
    <row r="278" spans="1:5" x14ac:dyDescent="0.3">
      <c r="A278">
        <v>274</v>
      </c>
      <c r="B278" s="13">
        <v>45794</v>
      </c>
      <c r="C278" t="s">
        <v>1843</v>
      </c>
      <c r="D278" t="s">
        <v>2227</v>
      </c>
    </row>
    <row r="279" spans="1:5" x14ac:dyDescent="0.3">
      <c r="A279">
        <v>275</v>
      </c>
      <c r="B279" s="13">
        <v>45794</v>
      </c>
      <c r="C279" t="s">
        <v>1743</v>
      </c>
      <c r="D279" t="s">
        <v>2228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2229</v>
      </c>
    </row>
    <row r="281" spans="1:5" x14ac:dyDescent="0.3">
      <c r="A281">
        <v>277</v>
      </c>
      <c r="B281" s="13">
        <v>45794</v>
      </c>
      <c r="C281" t="s">
        <v>1440</v>
      </c>
      <c r="D281" t="s">
        <v>2233</v>
      </c>
    </row>
    <row r="282" spans="1:5" x14ac:dyDescent="0.3">
      <c r="A282">
        <v>278</v>
      </c>
      <c r="B282" s="13">
        <v>45794</v>
      </c>
      <c r="C282" t="s">
        <v>2235</v>
      </c>
      <c r="D282" t="s">
        <v>2236</v>
      </c>
    </row>
    <row r="283" spans="1:5" x14ac:dyDescent="0.3">
      <c r="A283">
        <v>279</v>
      </c>
      <c r="B283" s="13">
        <v>45794</v>
      </c>
      <c r="C283" t="s">
        <v>1718</v>
      </c>
      <c r="D283" t="s">
        <v>2238</v>
      </c>
    </row>
    <row r="284" spans="1:5" x14ac:dyDescent="0.3">
      <c r="A284">
        <v>280</v>
      </c>
      <c r="B284" s="13">
        <v>45794</v>
      </c>
      <c r="C284" t="s">
        <v>1387</v>
      </c>
      <c r="D284" t="s">
        <v>2239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2243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2247</v>
      </c>
    </row>
    <row r="288" spans="1:5" x14ac:dyDescent="0.3">
      <c r="A288">
        <v>284</v>
      </c>
      <c r="B288" s="13">
        <v>45797</v>
      </c>
      <c r="C288" t="s">
        <v>1576</v>
      </c>
      <c r="D288" t="s">
        <v>2248</v>
      </c>
    </row>
    <row r="289" spans="1:4" x14ac:dyDescent="0.3">
      <c r="A289">
        <v>285</v>
      </c>
      <c r="B289" s="13">
        <v>45797</v>
      </c>
      <c r="C289" t="s">
        <v>1857</v>
      </c>
      <c r="D289" t="s">
        <v>2249</v>
      </c>
    </row>
    <row r="290" spans="1:4" x14ac:dyDescent="0.3">
      <c r="A290">
        <v>286</v>
      </c>
      <c r="B290" s="13">
        <v>45798</v>
      </c>
      <c r="C290" t="s">
        <v>1550</v>
      </c>
      <c r="D290" t="s">
        <v>2253</v>
      </c>
    </row>
    <row r="291" spans="1:4" x14ac:dyDescent="0.3">
      <c r="A291">
        <v>287</v>
      </c>
      <c r="B291" s="13">
        <v>45798</v>
      </c>
      <c r="C291" t="s">
        <v>2254</v>
      </c>
      <c r="D291" t="s">
        <v>2255</v>
      </c>
    </row>
    <row r="292" spans="1:4" x14ac:dyDescent="0.3">
      <c r="A292">
        <v>288</v>
      </c>
      <c r="B292" s="13">
        <v>45798</v>
      </c>
      <c r="C292" t="s">
        <v>1667</v>
      </c>
      <c r="D292" t="s">
        <v>2256</v>
      </c>
    </row>
    <row r="293" spans="1:4" x14ac:dyDescent="0.3">
      <c r="A293">
        <v>289</v>
      </c>
      <c r="B293" s="13">
        <v>45798</v>
      </c>
      <c r="C293" t="s">
        <v>2257</v>
      </c>
      <c r="D293" t="s">
        <v>2258</v>
      </c>
    </row>
    <row r="294" spans="1:4" x14ac:dyDescent="0.3">
      <c r="A294">
        <v>290</v>
      </c>
      <c r="B294" s="13">
        <v>45798</v>
      </c>
      <c r="C294" t="s">
        <v>1857</v>
      </c>
      <c r="D294" t="s">
        <v>2259</v>
      </c>
    </row>
    <row r="295" spans="1:4" x14ac:dyDescent="0.3">
      <c r="A295">
        <v>291</v>
      </c>
      <c r="B295" s="13">
        <v>45799</v>
      </c>
      <c r="C295" t="s">
        <v>1395</v>
      </c>
      <c r="D295" t="s">
        <v>2260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2261</v>
      </c>
    </row>
    <row r="297" spans="1:4" x14ac:dyDescent="0.3">
      <c r="A297">
        <v>293</v>
      </c>
      <c r="B297" s="13">
        <v>45799</v>
      </c>
      <c r="C297" t="s">
        <v>1550</v>
      </c>
      <c r="D297" t="s">
        <v>2262</v>
      </c>
    </row>
    <row r="298" spans="1:4" x14ac:dyDescent="0.3">
      <c r="A298">
        <v>294</v>
      </c>
      <c r="B298" s="13">
        <v>45799</v>
      </c>
      <c r="C298" t="s">
        <v>1445</v>
      </c>
      <c r="D298" t="s">
        <v>2264</v>
      </c>
    </row>
    <row r="299" spans="1:4" x14ac:dyDescent="0.3">
      <c r="A299">
        <v>295</v>
      </c>
      <c r="B299" s="13">
        <v>45799</v>
      </c>
      <c r="C299" t="s">
        <v>1475</v>
      </c>
      <c r="D299" t="s">
        <v>2265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2271</v>
      </c>
    </row>
    <row r="301" spans="1:4" x14ac:dyDescent="0.3">
      <c r="A301">
        <v>297</v>
      </c>
      <c r="B301" s="13">
        <v>45800</v>
      </c>
      <c r="C301" t="s">
        <v>2272</v>
      </c>
      <c r="D301" t="s">
        <v>2276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2277</v>
      </c>
    </row>
    <row r="303" spans="1:4" x14ac:dyDescent="0.3">
      <c r="A303">
        <v>299</v>
      </c>
      <c r="B303" s="13">
        <v>45800</v>
      </c>
      <c r="C303" t="s">
        <v>1718</v>
      </c>
      <c r="D303" t="s">
        <v>2278</v>
      </c>
    </row>
    <row r="304" spans="1:4" x14ac:dyDescent="0.3">
      <c r="A304">
        <v>300</v>
      </c>
      <c r="B304" s="13">
        <v>45801</v>
      </c>
      <c r="C304" t="s">
        <v>1448</v>
      </c>
      <c r="D304" t="s">
        <v>2284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2285</v>
      </c>
    </row>
    <row r="306" spans="1:4" x14ac:dyDescent="0.3">
      <c r="A306">
        <v>302</v>
      </c>
      <c r="B306" s="13">
        <v>45801</v>
      </c>
      <c r="C306" t="s">
        <v>1540</v>
      </c>
      <c r="D306" t="s">
        <v>2287</v>
      </c>
    </row>
    <row r="307" spans="1:4" x14ac:dyDescent="0.3">
      <c r="A307">
        <v>303</v>
      </c>
      <c r="B307" s="13">
        <v>45803</v>
      </c>
      <c r="C307" t="s">
        <v>2288</v>
      </c>
      <c r="D307" t="s">
        <v>2292</v>
      </c>
    </row>
    <row r="308" spans="1:4" x14ac:dyDescent="0.3">
      <c r="A308">
        <v>304</v>
      </c>
      <c r="B308" s="13">
        <v>45803</v>
      </c>
      <c r="C308" t="s">
        <v>1395</v>
      </c>
      <c r="D308" t="s">
        <v>2293</v>
      </c>
    </row>
    <row r="309" spans="1:4" x14ac:dyDescent="0.3">
      <c r="A309">
        <v>305</v>
      </c>
      <c r="B309" s="13">
        <v>45803</v>
      </c>
      <c r="C309" t="s">
        <v>1573</v>
      </c>
      <c r="D309" t="s">
        <v>2294</v>
      </c>
    </row>
    <row r="310" spans="1:4" x14ac:dyDescent="0.3">
      <c r="A310">
        <v>306</v>
      </c>
      <c r="B310" s="13">
        <v>45803</v>
      </c>
      <c r="C310" t="s">
        <v>2115</v>
      </c>
      <c r="D310" t="s">
        <v>2296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2297</v>
      </c>
    </row>
    <row r="312" spans="1:4" x14ac:dyDescent="0.3">
      <c r="A312">
        <v>308</v>
      </c>
      <c r="B312" s="13">
        <v>45803</v>
      </c>
      <c r="C312" t="s">
        <v>1667</v>
      </c>
      <c r="D312" t="s">
        <v>2298</v>
      </c>
    </row>
    <row r="313" spans="1:4" x14ac:dyDescent="0.3">
      <c r="A313">
        <v>309</v>
      </c>
      <c r="B313" s="13">
        <v>45803</v>
      </c>
      <c r="C313" t="s">
        <v>1582</v>
      </c>
      <c r="D313" t="s">
        <v>2301</v>
      </c>
    </row>
    <row r="314" spans="1:4" x14ac:dyDescent="0.3">
      <c r="A314">
        <v>310</v>
      </c>
      <c r="B314" s="13">
        <v>45804</v>
      </c>
      <c r="C314" t="s">
        <v>1475</v>
      </c>
      <c r="D314" t="s">
        <v>2304</v>
      </c>
    </row>
    <row r="315" spans="1:4" x14ac:dyDescent="0.3">
      <c r="A315">
        <v>311</v>
      </c>
      <c r="B315" s="13">
        <v>45804</v>
      </c>
      <c r="C315" t="s">
        <v>1718</v>
      </c>
      <c r="D315" t="s">
        <v>2305</v>
      </c>
    </row>
    <row r="316" spans="1:4" x14ac:dyDescent="0.3">
      <c r="A316">
        <v>312</v>
      </c>
      <c r="B316" s="13">
        <v>45804</v>
      </c>
      <c r="C316" t="s">
        <v>1573</v>
      </c>
      <c r="D316" t="s">
        <v>2306</v>
      </c>
    </row>
    <row r="317" spans="1:4" x14ac:dyDescent="0.3">
      <c r="A317">
        <v>313</v>
      </c>
      <c r="B317" s="13">
        <v>45804</v>
      </c>
      <c r="C317" t="s">
        <v>1369</v>
      </c>
      <c r="D317" t="s">
        <v>2307</v>
      </c>
    </row>
    <row r="318" spans="1:4" x14ac:dyDescent="0.3">
      <c r="A318">
        <v>314</v>
      </c>
      <c r="B318" s="13">
        <v>45804</v>
      </c>
      <c r="C318" t="s">
        <v>1537</v>
      </c>
      <c r="D318" t="s">
        <v>2310</v>
      </c>
    </row>
    <row r="319" spans="1:4" x14ac:dyDescent="0.3">
      <c r="A319">
        <v>343</v>
      </c>
      <c r="B319" s="13">
        <v>45806</v>
      </c>
      <c r="C319" t="s">
        <v>2257</v>
      </c>
      <c r="D319" t="s">
        <v>2319</v>
      </c>
    </row>
    <row r="320" spans="1:4" x14ac:dyDescent="0.3">
      <c r="A320">
        <v>344</v>
      </c>
      <c r="B320" s="13">
        <v>45806</v>
      </c>
      <c r="C320" t="s">
        <v>1387</v>
      </c>
      <c r="D320" t="s">
        <v>2320</v>
      </c>
    </row>
    <row r="321" spans="1:4" x14ac:dyDescent="0.3">
      <c r="A321">
        <v>345</v>
      </c>
      <c r="B321" s="13">
        <v>45806</v>
      </c>
      <c r="C321" t="s">
        <v>1395</v>
      </c>
      <c r="D321" t="s">
        <v>2321</v>
      </c>
    </row>
    <row r="322" spans="1:4" x14ac:dyDescent="0.3">
      <c r="A322">
        <v>346</v>
      </c>
      <c r="B322" s="13">
        <v>45807</v>
      </c>
      <c r="C322" t="s">
        <v>1517</v>
      </c>
      <c r="D322" t="s">
        <v>2322</v>
      </c>
    </row>
    <row r="323" spans="1:4" x14ac:dyDescent="0.3">
      <c r="A323">
        <v>347</v>
      </c>
      <c r="B323" s="13">
        <v>45807</v>
      </c>
      <c r="C323" t="s">
        <v>1475</v>
      </c>
      <c r="D323" t="s">
        <v>2328</v>
      </c>
    </row>
    <row r="324" spans="1:4" x14ac:dyDescent="0.3">
      <c r="A324">
        <v>348</v>
      </c>
      <c r="B324" s="13">
        <v>45807</v>
      </c>
      <c r="C324" t="s">
        <v>2329</v>
      </c>
      <c r="D324" t="s">
        <v>2330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2331</v>
      </c>
    </row>
    <row r="326" spans="1:4" x14ac:dyDescent="0.3">
      <c r="A326">
        <v>350</v>
      </c>
      <c r="B326" s="13">
        <v>45807</v>
      </c>
      <c r="C326" t="s">
        <v>2315</v>
      </c>
      <c r="D326" t="s">
        <v>2332</v>
      </c>
    </row>
    <row r="327" spans="1:4" x14ac:dyDescent="0.3">
      <c r="A327">
        <v>351</v>
      </c>
      <c r="B327" s="13">
        <v>45807</v>
      </c>
      <c r="C327" t="s">
        <v>2097</v>
      </c>
      <c r="D327" t="s">
        <v>2333</v>
      </c>
    </row>
    <row r="328" spans="1:4" x14ac:dyDescent="0.3">
      <c r="A328">
        <v>352</v>
      </c>
      <c r="B328" s="13">
        <v>45807</v>
      </c>
      <c r="C328" t="s">
        <v>1438</v>
      </c>
      <c r="D328" t="s">
        <v>2335</v>
      </c>
    </row>
    <row r="329" spans="1:4" x14ac:dyDescent="0.3">
      <c r="A329">
        <v>353</v>
      </c>
      <c r="B329" s="13">
        <v>45808</v>
      </c>
      <c r="C329" t="s">
        <v>1234</v>
      </c>
      <c r="D329" t="s">
        <v>2340</v>
      </c>
    </row>
    <row r="330" spans="1:4" x14ac:dyDescent="0.3">
      <c r="A330">
        <v>354</v>
      </c>
      <c r="B330" s="13">
        <v>45808</v>
      </c>
      <c r="C330" t="s">
        <v>1302</v>
      </c>
      <c r="D330" t="s">
        <v>2341</v>
      </c>
    </row>
    <row r="331" spans="1:4" x14ac:dyDescent="0.3">
      <c r="A331">
        <v>355</v>
      </c>
      <c r="B331" s="13">
        <v>45808</v>
      </c>
      <c r="C331" t="s">
        <v>1718</v>
      </c>
      <c r="D331" t="s">
        <v>2347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2349</v>
      </c>
    </row>
    <row r="333" spans="1:4" x14ac:dyDescent="0.3">
      <c r="A333">
        <v>357</v>
      </c>
      <c r="B333" s="13">
        <v>45810</v>
      </c>
      <c r="C333" t="s">
        <v>1537</v>
      </c>
      <c r="D333" t="s">
        <v>2350</v>
      </c>
    </row>
    <row r="334" spans="1:4" x14ac:dyDescent="0.3">
      <c r="A334">
        <v>358</v>
      </c>
      <c r="B334" s="13">
        <v>45810</v>
      </c>
      <c r="C334" t="s">
        <v>2288</v>
      </c>
      <c r="D334" t="s">
        <v>2351</v>
      </c>
    </row>
    <row r="335" spans="1:4" x14ac:dyDescent="0.3">
      <c r="A335">
        <v>359</v>
      </c>
      <c r="B335" s="13">
        <v>45810</v>
      </c>
      <c r="C335" t="s">
        <v>1452</v>
      </c>
      <c r="D335" t="s">
        <v>2352</v>
      </c>
    </row>
    <row r="336" spans="1:4" x14ac:dyDescent="0.3">
      <c r="A336">
        <v>360</v>
      </c>
      <c r="B336" s="13">
        <v>45810</v>
      </c>
      <c r="C336" t="s">
        <v>1537</v>
      </c>
      <c r="D336" t="s">
        <v>2353</v>
      </c>
    </row>
    <row r="337" spans="1:4" x14ac:dyDescent="0.3">
      <c r="A337">
        <v>361</v>
      </c>
      <c r="B337" s="13">
        <v>45810</v>
      </c>
      <c r="C337" t="s">
        <v>2254</v>
      </c>
      <c r="D337" t="s">
        <v>2356</v>
      </c>
    </row>
    <row r="338" spans="1:4" x14ac:dyDescent="0.3">
      <c r="A338">
        <v>362</v>
      </c>
      <c r="B338" s="13">
        <v>45811</v>
      </c>
      <c r="C338" t="s">
        <v>1592</v>
      </c>
      <c r="D338" t="s">
        <v>2358</v>
      </c>
    </row>
    <row r="339" spans="1:4" x14ac:dyDescent="0.3">
      <c r="A339">
        <v>363</v>
      </c>
      <c r="B339" s="13">
        <v>45811</v>
      </c>
      <c r="C339" t="s">
        <v>1445</v>
      </c>
      <c r="D339" t="s">
        <v>2360</v>
      </c>
    </row>
    <row r="340" spans="1:4" x14ac:dyDescent="0.3">
      <c r="A340">
        <v>364</v>
      </c>
      <c r="B340" s="13">
        <v>45811</v>
      </c>
      <c r="C340" t="s">
        <v>2361</v>
      </c>
      <c r="D340" t="s">
        <v>2364</v>
      </c>
    </row>
    <row r="341" spans="1:4" x14ac:dyDescent="0.3">
      <c r="A341">
        <v>365</v>
      </c>
      <c r="B341" s="13">
        <v>45811</v>
      </c>
      <c r="C341" t="s">
        <v>2361</v>
      </c>
      <c r="D341" t="s">
        <v>2365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2374</v>
      </c>
    </row>
    <row r="343" spans="1:4" x14ac:dyDescent="0.3">
      <c r="A343">
        <v>367</v>
      </c>
      <c r="B343" s="13">
        <v>45812</v>
      </c>
      <c r="C343" t="s">
        <v>1594</v>
      </c>
      <c r="D343" t="s">
        <v>2375</v>
      </c>
    </row>
    <row r="344" spans="1:4" x14ac:dyDescent="0.3">
      <c r="A344">
        <v>368</v>
      </c>
      <c r="B344" s="13">
        <v>45812</v>
      </c>
      <c r="C344" t="s">
        <v>2376</v>
      </c>
      <c r="D344" t="s">
        <v>2381</v>
      </c>
    </row>
    <row r="345" spans="1:4" x14ac:dyDescent="0.3">
      <c r="A345">
        <v>369</v>
      </c>
      <c r="B345" s="13">
        <v>45812</v>
      </c>
      <c r="C345" t="s">
        <v>1576</v>
      </c>
      <c r="D345" t="s">
        <v>2384</v>
      </c>
    </row>
    <row r="346" spans="1:4" x14ac:dyDescent="0.3">
      <c r="A346">
        <v>370</v>
      </c>
      <c r="B346" s="13">
        <v>45813</v>
      </c>
      <c r="C346" t="s">
        <v>1537</v>
      </c>
      <c r="D346" t="s">
        <v>2389</v>
      </c>
    </row>
    <row r="347" spans="1:4" x14ac:dyDescent="0.3">
      <c r="A347">
        <v>371</v>
      </c>
      <c r="B347" s="13">
        <v>45813</v>
      </c>
      <c r="C347" t="s">
        <v>1537</v>
      </c>
      <c r="D347" t="s">
        <v>2390</v>
      </c>
    </row>
    <row r="348" spans="1:4" x14ac:dyDescent="0.3">
      <c r="A348">
        <v>372</v>
      </c>
      <c r="B348" s="13">
        <v>45813</v>
      </c>
      <c r="C348" t="s">
        <v>1452</v>
      </c>
      <c r="D348" t="s">
        <v>2391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2394</v>
      </c>
    </row>
    <row r="350" spans="1:4" x14ac:dyDescent="0.3">
      <c r="A350">
        <v>374</v>
      </c>
      <c r="B350" s="13">
        <v>45813</v>
      </c>
      <c r="C350" t="s">
        <v>2401</v>
      </c>
      <c r="D350" t="s">
        <v>2402</v>
      </c>
    </row>
    <row r="351" spans="1:4" x14ac:dyDescent="0.3">
      <c r="A351">
        <v>375</v>
      </c>
      <c r="B351" s="13">
        <v>45814</v>
      </c>
      <c r="C351" t="s">
        <v>1718</v>
      </c>
      <c r="D351" t="s">
        <v>2403</v>
      </c>
    </row>
    <row r="352" spans="1:4" x14ac:dyDescent="0.3">
      <c r="A352">
        <v>376</v>
      </c>
      <c r="B352" s="13">
        <v>45815</v>
      </c>
      <c r="C352" t="s">
        <v>1718</v>
      </c>
      <c r="D352" t="s">
        <v>2404</v>
      </c>
    </row>
    <row r="353" spans="1:4" x14ac:dyDescent="0.3">
      <c r="A353">
        <v>377</v>
      </c>
      <c r="B353" s="13">
        <v>45817</v>
      </c>
      <c r="C353" t="s">
        <v>2406</v>
      </c>
      <c r="D353" t="s">
        <v>2407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2408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2411</v>
      </c>
    </row>
    <row r="356" spans="1:4" x14ac:dyDescent="0.3">
      <c r="A356">
        <v>380</v>
      </c>
      <c r="B356" s="13">
        <v>45817</v>
      </c>
      <c r="C356" t="s">
        <v>1718</v>
      </c>
      <c r="D356" t="s">
        <v>2412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2415</v>
      </c>
    </row>
    <row r="358" spans="1:4" x14ac:dyDescent="0.3">
      <c r="A358">
        <v>382</v>
      </c>
      <c r="B358" s="13">
        <v>45817</v>
      </c>
      <c r="C358" t="s">
        <v>1440</v>
      </c>
      <c r="D358" t="s">
        <v>2416</v>
      </c>
    </row>
    <row r="359" spans="1:4" x14ac:dyDescent="0.3">
      <c r="A359">
        <v>383</v>
      </c>
      <c r="B359" s="13">
        <v>45817</v>
      </c>
      <c r="C359" t="s">
        <v>1395</v>
      </c>
      <c r="D359" t="s">
        <v>2417</v>
      </c>
    </row>
    <row r="360" spans="1:4" x14ac:dyDescent="0.3">
      <c r="A360">
        <v>384</v>
      </c>
      <c r="B360" s="13">
        <v>45817</v>
      </c>
      <c r="C360" t="s">
        <v>1576</v>
      </c>
      <c r="D360" t="s">
        <v>2418</v>
      </c>
    </row>
    <row r="361" spans="1:4" x14ac:dyDescent="0.3">
      <c r="A361">
        <v>385</v>
      </c>
      <c r="B361" s="13">
        <v>45817</v>
      </c>
      <c r="C361" t="s">
        <v>1573</v>
      </c>
      <c r="D361" t="s">
        <v>2424</v>
      </c>
    </row>
    <row r="362" spans="1:4" x14ac:dyDescent="0.3">
      <c r="A362">
        <v>386</v>
      </c>
      <c r="B362" s="13">
        <v>45817</v>
      </c>
      <c r="C362" t="s">
        <v>1718</v>
      </c>
      <c r="D362" t="s">
        <v>2432</v>
      </c>
    </row>
    <row r="363" spans="1:4" x14ac:dyDescent="0.3">
      <c r="A363">
        <v>387</v>
      </c>
      <c r="B363" s="13">
        <v>45817</v>
      </c>
      <c r="C363" t="s">
        <v>1395</v>
      </c>
      <c r="D363" t="s">
        <v>2433</v>
      </c>
    </row>
    <row r="364" spans="1:4" x14ac:dyDescent="0.3">
      <c r="A364">
        <v>388</v>
      </c>
      <c r="B364" s="13">
        <v>45818</v>
      </c>
      <c r="C364" t="s">
        <v>2361</v>
      </c>
      <c r="D364" t="s">
        <v>2448</v>
      </c>
    </row>
    <row r="365" spans="1:4" x14ac:dyDescent="0.3">
      <c r="A365">
        <v>389</v>
      </c>
      <c r="B365" s="13">
        <v>45818</v>
      </c>
      <c r="C365" t="s">
        <v>1743</v>
      </c>
      <c r="D365" t="s">
        <v>2449</v>
      </c>
    </row>
    <row r="366" spans="1:4" x14ac:dyDescent="0.3">
      <c r="A366">
        <v>390</v>
      </c>
      <c r="B366" s="13">
        <v>45818</v>
      </c>
      <c r="C366" t="s">
        <v>1395</v>
      </c>
      <c r="D366" t="s">
        <v>2450</v>
      </c>
    </row>
    <row r="367" spans="1:4" x14ac:dyDescent="0.3">
      <c r="A367">
        <v>391</v>
      </c>
      <c r="B367" s="13">
        <v>45818</v>
      </c>
      <c r="C367" t="s">
        <v>1302</v>
      </c>
      <c r="D367" t="s">
        <v>2452</v>
      </c>
    </row>
    <row r="368" spans="1:4" x14ac:dyDescent="0.3">
      <c r="A368">
        <v>392</v>
      </c>
      <c r="B368" s="13">
        <v>45818</v>
      </c>
      <c r="C368" t="s">
        <v>1573</v>
      </c>
      <c r="D368" t="s">
        <v>2453</v>
      </c>
    </row>
    <row r="369" spans="1:4" x14ac:dyDescent="0.3">
      <c r="A369">
        <v>393</v>
      </c>
      <c r="B369" s="13">
        <v>45818</v>
      </c>
      <c r="C369" t="s">
        <v>1440</v>
      </c>
      <c r="D369" t="s">
        <v>2455</v>
      </c>
    </row>
    <row r="370" spans="1:4" x14ac:dyDescent="0.3">
      <c r="A370">
        <v>394</v>
      </c>
      <c r="B370" s="13">
        <v>45818</v>
      </c>
      <c r="C370" t="s">
        <v>2315</v>
      </c>
      <c r="D370" t="s">
        <v>2457</v>
      </c>
    </row>
    <row r="371" spans="1:4" x14ac:dyDescent="0.3">
      <c r="A371">
        <v>395</v>
      </c>
      <c r="B371" s="13">
        <v>45818</v>
      </c>
      <c r="C371" t="s">
        <v>1890</v>
      </c>
      <c r="D371" t="s">
        <v>2458</v>
      </c>
    </row>
    <row r="372" spans="1:4" x14ac:dyDescent="0.3">
      <c r="A372">
        <v>396</v>
      </c>
      <c r="B372" s="13">
        <v>45819</v>
      </c>
      <c r="C372" t="s">
        <v>1445</v>
      </c>
      <c r="D372" t="s">
        <v>2460</v>
      </c>
    </row>
    <row r="373" spans="1:4" x14ac:dyDescent="0.3">
      <c r="A373">
        <v>397</v>
      </c>
      <c r="B373" s="13">
        <v>45819</v>
      </c>
      <c r="C373" t="s">
        <v>2367</v>
      </c>
      <c r="D373" t="s">
        <v>2471</v>
      </c>
    </row>
    <row r="374" spans="1:4" x14ac:dyDescent="0.3">
      <c r="A374">
        <v>398</v>
      </c>
      <c r="B374" s="13">
        <v>45819</v>
      </c>
      <c r="C374" t="s">
        <v>2472</v>
      </c>
      <c r="D374" t="s">
        <v>2473</v>
      </c>
    </row>
    <row r="375" spans="1:4" x14ac:dyDescent="0.3">
      <c r="A375">
        <v>399</v>
      </c>
      <c r="B375" s="13">
        <v>45819</v>
      </c>
      <c r="C375" t="s">
        <v>1448</v>
      </c>
      <c r="D375" t="s">
        <v>2475</v>
      </c>
    </row>
    <row r="376" spans="1:4" x14ac:dyDescent="0.3">
      <c r="A376">
        <v>400</v>
      </c>
      <c r="B376" s="13">
        <v>45819</v>
      </c>
      <c r="C376" t="s">
        <v>1369</v>
      </c>
      <c r="D376" t="s">
        <v>2476</v>
      </c>
    </row>
    <row r="377" spans="1:4" x14ac:dyDescent="0.3">
      <c r="A377">
        <v>401</v>
      </c>
      <c r="B377" s="13">
        <v>45819</v>
      </c>
      <c r="C377" t="s">
        <v>2463</v>
      </c>
      <c r="D377" t="s">
        <v>2477</v>
      </c>
    </row>
    <row r="378" spans="1:4" x14ac:dyDescent="0.3">
      <c r="A378">
        <v>402</v>
      </c>
      <c r="B378" s="13">
        <v>45819</v>
      </c>
      <c r="C378" t="s">
        <v>1445</v>
      </c>
      <c r="D378" t="s">
        <v>2478</v>
      </c>
    </row>
    <row r="379" spans="1:4" x14ac:dyDescent="0.3">
      <c r="A379">
        <v>403</v>
      </c>
      <c r="B379" s="13">
        <v>45820</v>
      </c>
      <c r="C379" t="s">
        <v>1469</v>
      </c>
      <c r="D379" t="s">
        <v>2479</v>
      </c>
    </row>
    <row r="380" spans="1:4" x14ac:dyDescent="0.3">
      <c r="A380">
        <v>404</v>
      </c>
      <c r="B380" s="13">
        <v>45820</v>
      </c>
      <c r="C380" t="s">
        <v>1469</v>
      </c>
      <c r="D380" t="s">
        <v>2480</v>
      </c>
    </row>
    <row r="381" spans="1:4" x14ac:dyDescent="0.3">
      <c r="A381">
        <v>405</v>
      </c>
      <c r="B381" s="13">
        <v>45820</v>
      </c>
      <c r="C381" t="s">
        <v>1475</v>
      </c>
      <c r="D381" t="s">
        <v>2481</v>
      </c>
    </row>
    <row r="382" spans="1:4" x14ac:dyDescent="0.3">
      <c r="A382">
        <v>406</v>
      </c>
      <c r="B382" s="13">
        <v>45821</v>
      </c>
      <c r="C382" t="s">
        <v>2482</v>
      </c>
      <c r="D382" t="s">
        <v>2488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2489</v>
      </c>
    </row>
    <row r="384" spans="1:4" x14ac:dyDescent="0.3">
      <c r="A384">
        <v>408</v>
      </c>
      <c r="B384" s="13">
        <v>45821</v>
      </c>
      <c r="C384" t="s">
        <v>1805</v>
      </c>
      <c r="D384" t="s">
        <v>2490</v>
      </c>
    </row>
    <row r="385" spans="1:4" x14ac:dyDescent="0.3">
      <c r="A385">
        <v>409</v>
      </c>
      <c r="B385" s="13">
        <v>45821</v>
      </c>
      <c r="C385" t="s">
        <v>1976</v>
      </c>
      <c r="D385" t="s">
        <v>2491</v>
      </c>
    </row>
    <row r="386" spans="1:4" x14ac:dyDescent="0.3">
      <c r="A386">
        <v>410</v>
      </c>
      <c r="B386" s="13">
        <v>45821</v>
      </c>
      <c r="C386" t="s">
        <v>2492</v>
      </c>
      <c r="D386" t="s">
        <v>2493</v>
      </c>
    </row>
    <row r="387" spans="1:4" x14ac:dyDescent="0.3">
      <c r="A387">
        <v>411</v>
      </c>
      <c r="B387" s="13">
        <v>45821</v>
      </c>
      <c r="C387" t="s">
        <v>1465</v>
      </c>
      <c r="D387" t="s">
        <v>2497</v>
      </c>
    </row>
    <row r="388" spans="1:4" x14ac:dyDescent="0.3">
      <c r="A388">
        <v>412</v>
      </c>
      <c r="B388" s="13">
        <v>45821</v>
      </c>
      <c r="C388" t="s">
        <v>1490</v>
      </c>
      <c r="D388" t="s">
        <v>2502</v>
      </c>
    </row>
    <row r="389" spans="1:4" x14ac:dyDescent="0.3">
      <c r="A389">
        <v>413</v>
      </c>
      <c r="B389" s="13">
        <v>45822</v>
      </c>
      <c r="C389" t="s">
        <v>1395</v>
      </c>
      <c r="D389" t="s">
        <v>2503</v>
      </c>
    </row>
    <row r="390" spans="1:4" x14ac:dyDescent="0.3">
      <c r="A390">
        <v>414</v>
      </c>
      <c r="B390" s="13">
        <v>45822</v>
      </c>
      <c r="C390" t="s">
        <v>1537</v>
      </c>
      <c r="D390" t="s">
        <v>2504</v>
      </c>
    </row>
    <row r="391" spans="1:4" x14ac:dyDescent="0.3">
      <c r="A391">
        <v>415</v>
      </c>
      <c r="B391" s="13">
        <v>45824</v>
      </c>
      <c r="C391" t="s">
        <v>1450</v>
      </c>
      <c r="D391" t="s">
        <v>2505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2510</v>
      </c>
    </row>
    <row r="393" spans="1:4" x14ac:dyDescent="0.3">
      <c r="A393">
        <v>417</v>
      </c>
      <c r="B393" s="13">
        <v>45824</v>
      </c>
      <c r="C393" t="s">
        <v>1395</v>
      </c>
      <c r="D393" t="s">
        <v>2511</v>
      </c>
    </row>
    <row r="394" spans="1:4" x14ac:dyDescent="0.3">
      <c r="A394">
        <v>418</v>
      </c>
      <c r="B394" s="13">
        <v>45825</v>
      </c>
      <c r="C394" t="s">
        <v>1374</v>
      </c>
      <c r="D394" t="s">
        <v>2512</v>
      </c>
    </row>
    <row r="395" spans="1:4" x14ac:dyDescent="0.3">
      <c r="A395">
        <v>419</v>
      </c>
      <c r="B395" s="13">
        <v>45825</v>
      </c>
      <c r="C395" t="s">
        <v>1537</v>
      </c>
      <c r="D395" t="s">
        <v>2552</v>
      </c>
    </row>
    <row r="396" spans="1:4" x14ac:dyDescent="0.3">
      <c r="A396">
        <v>420</v>
      </c>
      <c r="B396" s="13">
        <v>45825</v>
      </c>
      <c r="C396" t="s">
        <v>1395</v>
      </c>
      <c r="D396" t="s">
        <v>2555</v>
      </c>
    </row>
    <row r="397" spans="1:4" x14ac:dyDescent="0.3">
      <c r="A397">
        <v>421</v>
      </c>
      <c r="B397" s="13">
        <v>45825</v>
      </c>
      <c r="C397" t="s">
        <v>2554</v>
      </c>
      <c r="D397" t="s">
        <v>2556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2560</v>
      </c>
    </row>
    <row r="399" spans="1:4" x14ac:dyDescent="0.3">
      <c r="A399">
        <v>423</v>
      </c>
      <c r="B399" s="13">
        <v>45826</v>
      </c>
      <c r="C399" t="s">
        <v>1395</v>
      </c>
      <c r="D399" t="s">
        <v>2563</v>
      </c>
    </row>
    <row r="400" spans="1:4" x14ac:dyDescent="0.3">
      <c r="A400">
        <v>424</v>
      </c>
      <c r="B400" s="13">
        <v>45826</v>
      </c>
      <c r="C400" t="s">
        <v>2472</v>
      </c>
      <c r="D400" t="s">
        <v>2564</v>
      </c>
    </row>
    <row r="401" spans="1:4" x14ac:dyDescent="0.3">
      <c r="A401">
        <v>425</v>
      </c>
      <c r="B401" s="13">
        <v>45826</v>
      </c>
      <c r="C401" t="s">
        <v>1973</v>
      </c>
      <c r="D401" t="s">
        <v>2565</v>
      </c>
    </row>
    <row r="402" spans="1:4" x14ac:dyDescent="0.3">
      <c r="A402">
        <v>426</v>
      </c>
      <c r="B402" s="13">
        <v>45826</v>
      </c>
      <c r="C402" t="s">
        <v>2288</v>
      </c>
      <c r="D402" t="s">
        <v>2566</v>
      </c>
    </row>
    <row r="403" spans="1:4" x14ac:dyDescent="0.3">
      <c r="A403">
        <v>427</v>
      </c>
      <c r="B403" s="13">
        <v>45826</v>
      </c>
      <c r="C403" t="s">
        <v>1718</v>
      </c>
      <c r="D403" t="s">
        <v>2567</v>
      </c>
    </row>
    <row r="404" spans="1:4" x14ac:dyDescent="0.3">
      <c r="A404">
        <v>428</v>
      </c>
      <c r="B404" s="13">
        <v>45826</v>
      </c>
      <c r="C404" t="s">
        <v>1395</v>
      </c>
      <c r="D404" t="s">
        <v>2568</v>
      </c>
    </row>
    <row r="405" spans="1:4" x14ac:dyDescent="0.3">
      <c r="A405">
        <v>429</v>
      </c>
      <c r="B405" s="13">
        <v>45827</v>
      </c>
      <c r="C405" t="s">
        <v>1973</v>
      </c>
      <c r="D405" t="s">
        <v>2570</v>
      </c>
    </row>
    <row r="406" spans="1:4" x14ac:dyDescent="0.3">
      <c r="A406">
        <v>430</v>
      </c>
      <c r="B406" s="13">
        <v>45827</v>
      </c>
      <c r="C406" t="s">
        <v>1445</v>
      </c>
      <c r="D406" t="s">
        <v>2571</v>
      </c>
    </row>
    <row r="407" spans="1:4" x14ac:dyDescent="0.3">
      <c r="A407">
        <v>431</v>
      </c>
      <c r="B407" s="13">
        <v>45827</v>
      </c>
      <c r="C407" t="s">
        <v>2554</v>
      </c>
      <c r="D407" t="s">
        <v>2576</v>
      </c>
    </row>
    <row r="408" spans="1:4" x14ac:dyDescent="0.3">
      <c r="A408">
        <v>432</v>
      </c>
      <c r="B408" s="13">
        <v>45827</v>
      </c>
      <c r="C408" t="s">
        <v>1395</v>
      </c>
      <c r="D408" t="s">
        <v>2579</v>
      </c>
    </row>
    <row r="409" spans="1:4" x14ac:dyDescent="0.3">
      <c r="A409">
        <v>433</v>
      </c>
      <c r="B409" s="13">
        <v>45827</v>
      </c>
      <c r="C409" t="s">
        <v>1440</v>
      </c>
      <c r="D409" t="s">
        <v>2580</v>
      </c>
    </row>
    <row r="410" spans="1:4" x14ac:dyDescent="0.3">
      <c r="A410">
        <v>434</v>
      </c>
      <c r="B410" s="13">
        <v>45827</v>
      </c>
      <c r="C410" t="s">
        <v>1718</v>
      </c>
      <c r="D410" t="s">
        <v>2581</v>
      </c>
    </row>
    <row r="411" spans="1:4" x14ac:dyDescent="0.3">
      <c r="A411">
        <v>435</v>
      </c>
      <c r="B411" s="13">
        <v>45827</v>
      </c>
      <c r="C411" t="s">
        <v>2406</v>
      </c>
      <c r="D411" t="s">
        <v>2582</v>
      </c>
    </row>
    <row r="412" spans="1:4" x14ac:dyDescent="0.3">
      <c r="A412">
        <v>436</v>
      </c>
      <c r="B412" s="13">
        <v>45827</v>
      </c>
      <c r="C412" t="s">
        <v>1573</v>
      </c>
      <c r="D412" t="s">
        <v>2584</v>
      </c>
    </row>
    <row r="413" spans="1:4" x14ac:dyDescent="0.3">
      <c r="A413">
        <v>437</v>
      </c>
      <c r="B413" s="13">
        <v>45827</v>
      </c>
      <c r="C413" t="s">
        <v>1573</v>
      </c>
      <c r="D413" t="s">
        <v>2586</v>
      </c>
    </row>
    <row r="414" spans="1:4" x14ac:dyDescent="0.3">
      <c r="A414">
        <v>438</v>
      </c>
      <c r="B414" s="13">
        <v>45828</v>
      </c>
      <c r="C414" t="s">
        <v>2593</v>
      </c>
      <c r="D414" t="s">
        <v>2594</v>
      </c>
    </row>
    <row r="415" spans="1:4" x14ac:dyDescent="0.3">
      <c r="A415">
        <v>439</v>
      </c>
      <c r="B415" s="13">
        <v>45828</v>
      </c>
      <c r="C415" t="s">
        <v>1576</v>
      </c>
      <c r="D415" t="s">
        <v>2595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2596</v>
      </c>
    </row>
    <row r="417" spans="1:4" x14ac:dyDescent="0.3">
      <c r="A417">
        <v>441</v>
      </c>
      <c r="B417" s="13">
        <v>45828</v>
      </c>
      <c r="C417" t="s">
        <v>1537</v>
      </c>
      <c r="D417" t="s">
        <v>2597</v>
      </c>
    </row>
    <row r="418" spans="1:4" x14ac:dyDescent="0.3">
      <c r="A418">
        <v>442</v>
      </c>
      <c r="B418" s="13">
        <v>45828</v>
      </c>
      <c r="C418" t="s">
        <v>2598</v>
      </c>
      <c r="D418" t="s">
        <v>2599</v>
      </c>
    </row>
    <row r="419" spans="1:4" x14ac:dyDescent="0.3">
      <c r="A419">
        <v>443</v>
      </c>
      <c r="B419" s="13">
        <v>45828</v>
      </c>
      <c r="C419" t="s">
        <v>1576</v>
      </c>
      <c r="D419" t="s">
        <v>2600</v>
      </c>
    </row>
    <row r="420" spans="1:4" x14ac:dyDescent="0.3">
      <c r="A420">
        <v>444</v>
      </c>
      <c r="B420" s="13">
        <v>45828</v>
      </c>
      <c r="C420" t="s">
        <v>2606</v>
      </c>
      <c r="D420" t="s">
        <v>2607</v>
      </c>
    </row>
    <row r="421" spans="1:4" x14ac:dyDescent="0.3">
      <c r="A421">
        <v>445</v>
      </c>
      <c r="B421" s="13">
        <v>45829</v>
      </c>
      <c r="C421" t="s">
        <v>1582</v>
      </c>
      <c r="D421" t="s">
        <v>2609</v>
      </c>
    </row>
    <row r="422" spans="1:4" x14ac:dyDescent="0.3">
      <c r="A422">
        <v>446</v>
      </c>
      <c r="B422" s="13">
        <v>45829</v>
      </c>
      <c r="C422" t="s">
        <v>2498</v>
      </c>
      <c r="D422" t="s">
        <v>2610</v>
      </c>
    </row>
    <row r="423" spans="1:4" x14ac:dyDescent="0.3">
      <c r="A423">
        <v>447</v>
      </c>
      <c r="B423" s="13">
        <v>45829</v>
      </c>
      <c r="C423" t="s">
        <v>1718</v>
      </c>
      <c r="D423" t="s">
        <v>2613</v>
      </c>
    </row>
    <row r="424" spans="1:4" x14ac:dyDescent="0.3">
      <c r="A424">
        <v>448</v>
      </c>
      <c r="B424" s="13">
        <v>45831</v>
      </c>
      <c r="C424" t="s">
        <v>2614</v>
      </c>
      <c r="D424" t="s">
        <v>2615</v>
      </c>
    </row>
    <row r="425" spans="1:4" x14ac:dyDescent="0.3">
      <c r="A425">
        <v>449</v>
      </c>
      <c r="B425" s="13">
        <v>45831</v>
      </c>
      <c r="C425" t="s">
        <v>2619</v>
      </c>
      <c r="D425" t="s">
        <v>2620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2626</v>
      </c>
    </row>
    <row r="427" spans="1:4" x14ac:dyDescent="0.3">
      <c r="A427">
        <v>451</v>
      </c>
      <c r="B427" s="13">
        <v>45832</v>
      </c>
      <c r="C427" t="s">
        <v>1576</v>
      </c>
      <c r="D427" t="s">
        <v>2627</v>
      </c>
    </row>
    <row r="428" spans="1:4" x14ac:dyDescent="0.3">
      <c r="A428">
        <v>452</v>
      </c>
      <c r="B428" s="13">
        <v>45832</v>
      </c>
      <c r="C428" t="s">
        <v>2472</v>
      </c>
      <c r="D428" t="s">
        <v>2634</v>
      </c>
    </row>
    <row r="429" spans="1:4" x14ac:dyDescent="0.3">
      <c r="A429">
        <v>453</v>
      </c>
      <c r="B429" s="13">
        <v>45832</v>
      </c>
      <c r="C429" t="s">
        <v>2628</v>
      </c>
      <c r="D429" t="s">
        <v>2635</v>
      </c>
    </row>
    <row r="430" spans="1:4" x14ac:dyDescent="0.3">
      <c r="A430">
        <v>454</v>
      </c>
      <c r="B430" s="13">
        <v>45832</v>
      </c>
      <c r="C430" t="s">
        <v>1718</v>
      </c>
      <c r="D430" t="s">
        <v>2636</v>
      </c>
    </row>
    <row r="431" spans="1:4" x14ac:dyDescent="0.3">
      <c r="A431">
        <v>455</v>
      </c>
      <c r="B431" s="13">
        <v>45832</v>
      </c>
      <c r="C431" t="s">
        <v>1537</v>
      </c>
      <c r="D431" t="s">
        <v>2637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2644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2645</v>
      </c>
    </row>
    <row r="434" spans="1:4" x14ac:dyDescent="0.3">
      <c r="A434">
        <v>458</v>
      </c>
      <c r="B434" s="13">
        <v>45833</v>
      </c>
      <c r="C434" t="s">
        <v>1890</v>
      </c>
      <c r="D434" t="s">
        <v>2646</v>
      </c>
    </row>
    <row r="435" spans="1:4" x14ac:dyDescent="0.3">
      <c r="A435">
        <v>459</v>
      </c>
      <c r="B435" s="13">
        <v>45833</v>
      </c>
      <c r="C435" t="s">
        <v>1594</v>
      </c>
      <c r="D435" t="s">
        <v>2648</v>
      </c>
    </row>
    <row r="436" spans="1:4" x14ac:dyDescent="0.3">
      <c r="A436">
        <v>460</v>
      </c>
      <c r="B436" s="13">
        <v>45833</v>
      </c>
      <c r="C436" t="s">
        <v>2639</v>
      </c>
      <c r="D436" t="s">
        <v>2649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2651</v>
      </c>
    </row>
    <row r="438" spans="1:4" x14ac:dyDescent="0.3">
      <c r="A438">
        <v>462</v>
      </c>
      <c r="B438" s="13">
        <v>45833</v>
      </c>
      <c r="C438" t="s">
        <v>1582</v>
      </c>
      <c r="D438" t="s">
        <v>2652</v>
      </c>
    </row>
    <row r="439" spans="1:4" x14ac:dyDescent="0.3">
      <c r="A439">
        <v>463</v>
      </c>
      <c r="B439" s="13">
        <v>45833</v>
      </c>
      <c r="C439" t="s">
        <v>1475</v>
      </c>
      <c r="D439" t="s">
        <v>2657</v>
      </c>
    </row>
    <row r="440" spans="1:4" x14ac:dyDescent="0.3">
      <c r="A440">
        <v>464</v>
      </c>
      <c r="B440" s="13">
        <v>45834</v>
      </c>
      <c r="C440" t="s">
        <v>1465</v>
      </c>
      <c r="D440" t="s">
        <v>2658</v>
      </c>
    </row>
    <row r="441" spans="1:4" x14ac:dyDescent="0.3">
      <c r="A441">
        <v>465</v>
      </c>
      <c r="B441" s="13">
        <v>45834</v>
      </c>
      <c r="C441" t="s">
        <v>1718</v>
      </c>
      <c r="D441" t="s">
        <v>2661</v>
      </c>
    </row>
    <row r="442" spans="1:4" x14ac:dyDescent="0.3">
      <c r="A442">
        <v>466</v>
      </c>
      <c r="B442" s="13">
        <v>45834</v>
      </c>
      <c r="C442" t="s">
        <v>1395</v>
      </c>
      <c r="D442" t="s">
        <v>2662</v>
      </c>
    </row>
    <row r="443" spans="1:4" x14ac:dyDescent="0.3">
      <c r="A443">
        <v>467</v>
      </c>
      <c r="B443" s="13">
        <v>45834</v>
      </c>
      <c r="C443" t="s">
        <v>1395</v>
      </c>
      <c r="D443" t="s">
        <v>2664</v>
      </c>
    </row>
    <row r="444" spans="1:4" x14ac:dyDescent="0.3">
      <c r="A444">
        <v>468</v>
      </c>
      <c r="B444" s="13">
        <v>45834</v>
      </c>
      <c r="C444" t="s">
        <v>1395</v>
      </c>
      <c r="D444" t="s">
        <v>2674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2677</v>
      </c>
    </row>
    <row r="446" spans="1:4" x14ac:dyDescent="0.3">
      <c r="A446">
        <v>470</v>
      </c>
      <c r="B446" s="13">
        <v>45835</v>
      </c>
      <c r="C446" t="s">
        <v>1374</v>
      </c>
      <c r="D446" t="s">
        <v>2688</v>
      </c>
    </row>
    <row r="447" spans="1:4" x14ac:dyDescent="0.3">
      <c r="A447">
        <v>471</v>
      </c>
      <c r="B447" s="13">
        <v>45835</v>
      </c>
      <c r="C447" t="s">
        <v>1463</v>
      </c>
      <c r="D447" t="s">
        <v>2689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2691</v>
      </c>
    </row>
    <row r="449" spans="1:4" x14ac:dyDescent="0.3">
      <c r="A449">
        <v>473</v>
      </c>
      <c r="B449" s="13">
        <v>45835</v>
      </c>
      <c r="C449" t="s">
        <v>1573</v>
      </c>
      <c r="D449" t="s">
        <v>2692</v>
      </c>
    </row>
    <row r="450" spans="1:4" x14ac:dyDescent="0.3">
      <c r="A450">
        <v>474</v>
      </c>
      <c r="B450" s="13">
        <v>45835</v>
      </c>
      <c r="C450" t="s">
        <v>1718</v>
      </c>
      <c r="D450" t="s">
        <v>2694</v>
      </c>
    </row>
    <row r="451" spans="1:4" x14ac:dyDescent="0.3">
      <c r="A451">
        <v>475</v>
      </c>
      <c r="B451" s="13">
        <v>45835</v>
      </c>
      <c r="C451" t="s">
        <v>1469</v>
      </c>
      <c r="D451" t="s">
        <v>2695</v>
      </c>
    </row>
    <row r="452" spans="1:4" x14ac:dyDescent="0.3">
      <c r="A452">
        <v>476</v>
      </c>
      <c r="B452" s="13">
        <v>45838</v>
      </c>
      <c r="C452" t="s">
        <v>2288</v>
      </c>
      <c r="D452" t="s">
        <v>2699</v>
      </c>
    </row>
    <row r="453" spans="1:4" x14ac:dyDescent="0.3">
      <c r="A453">
        <v>477</v>
      </c>
      <c r="B453" s="13">
        <v>45838</v>
      </c>
      <c r="C453" t="s">
        <v>1718</v>
      </c>
      <c r="D453" t="s">
        <v>2707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2710</v>
      </c>
    </row>
    <row r="455" spans="1:4" x14ac:dyDescent="0.3">
      <c r="A455">
        <v>479</v>
      </c>
      <c r="B455" s="13">
        <v>45838</v>
      </c>
      <c r="C455" t="s">
        <v>2700</v>
      </c>
      <c r="D455" t="s">
        <v>2711</v>
      </c>
    </row>
    <row r="456" spans="1:4" x14ac:dyDescent="0.3">
      <c r="A456">
        <v>480</v>
      </c>
      <c r="B456" s="13">
        <v>45838</v>
      </c>
      <c r="C456" t="s">
        <v>1440</v>
      </c>
      <c r="D456" t="s">
        <v>2712</v>
      </c>
    </row>
    <row r="457" spans="1:4" x14ac:dyDescent="0.3">
      <c r="A457">
        <v>481</v>
      </c>
      <c r="B457" s="13">
        <v>45838</v>
      </c>
      <c r="C457" t="s">
        <v>1718</v>
      </c>
      <c r="D457" t="s">
        <v>2713</v>
      </c>
    </row>
    <row r="458" spans="1:4" x14ac:dyDescent="0.3">
      <c r="A458">
        <v>482</v>
      </c>
      <c r="B458" s="13">
        <v>45838</v>
      </c>
      <c r="C458" t="s">
        <v>1976</v>
      </c>
      <c r="D458" t="s">
        <v>2714</v>
      </c>
    </row>
    <row r="459" spans="1:4" x14ac:dyDescent="0.3">
      <c r="A459">
        <v>483</v>
      </c>
      <c r="B459" s="13">
        <v>45838</v>
      </c>
      <c r="C459" t="s">
        <v>1463</v>
      </c>
      <c r="D459" t="s">
        <v>2717</v>
      </c>
    </row>
    <row r="460" spans="1:4" x14ac:dyDescent="0.3">
      <c r="A460">
        <v>484</v>
      </c>
      <c r="B460" s="13">
        <v>45839</v>
      </c>
      <c r="C460" t="s">
        <v>2721</v>
      </c>
      <c r="D460" t="s">
        <v>2722</v>
      </c>
    </row>
    <row r="461" spans="1:4" x14ac:dyDescent="0.3">
      <c r="A461">
        <v>485</v>
      </c>
      <c r="B461" s="13">
        <v>45839</v>
      </c>
      <c r="C461" t="s">
        <v>1475</v>
      </c>
      <c r="D461" t="s">
        <v>2723</v>
      </c>
    </row>
    <row r="462" spans="1:4" x14ac:dyDescent="0.3">
      <c r="A462">
        <v>486</v>
      </c>
      <c r="B462" s="13">
        <v>45839</v>
      </c>
      <c r="C462" t="s">
        <v>1576</v>
      </c>
      <c r="D462" t="s">
        <v>2725</v>
      </c>
    </row>
    <row r="463" spans="1:4" x14ac:dyDescent="0.3">
      <c r="A463">
        <v>487</v>
      </c>
      <c r="B463" s="13">
        <v>45839</v>
      </c>
      <c r="C463" t="s">
        <v>2728</v>
      </c>
      <c r="D463" t="s">
        <v>2731</v>
      </c>
    </row>
    <row r="464" spans="1:4" x14ac:dyDescent="0.3">
      <c r="A464">
        <v>488</v>
      </c>
      <c r="B464" s="13">
        <v>45839</v>
      </c>
      <c r="C464" t="s">
        <v>1440</v>
      </c>
      <c r="D464" t="s">
        <v>2732</v>
      </c>
    </row>
    <row r="465" spans="1:4" x14ac:dyDescent="0.3">
      <c r="A465">
        <v>489</v>
      </c>
      <c r="B465" s="13">
        <v>45840</v>
      </c>
      <c r="C465" t="s">
        <v>2736</v>
      </c>
      <c r="D465" t="s">
        <v>2737</v>
      </c>
    </row>
    <row r="466" spans="1:4" x14ac:dyDescent="0.3">
      <c r="A466">
        <v>490</v>
      </c>
      <c r="B466" s="13">
        <v>45840</v>
      </c>
      <c r="C466" t="s">
        <v>2738</v>
      </c>
      <c r="D466" t="s">
        <v>2742</v>
      </c>
    </row>
    <row r="467" spans="1:4" x14ac:dyDescent="0.3">
      <c r="A467">
        <v>491</v>
      </c>
      <c r="B467" s="13">
        <v>45840</v>
      </c>
      <c r="C467" t="s">
        <v>1576</v>
      </c>
      <c r="D467" t="s">
        <v>2749</v>
      </c>
    </row>
    <row r="468" spans="1:4" x14ac:dyDescent="0.3">
      <c r="A468">
        <v>492</v>
      </c>
      <c r="B468" s="13">
        <v>45840</v>
      </c>
      <c r="C468" t="s">
        <v>1957</v>
      </c>
      <c r="D468" t="s">
        <v>2750</v>
      </c>
    </row>
    <row r="469" spans="1:4" x14ac:dyDescent="0.3">
      <c r="A469">
        <v>493</v>
      </c>
      <c r="B469" s="13">
        <v>45840</v>
      </c>
      <c r="C469" t="s">
        <v>2097</v>
      </c>
      <c r="D469" t="s">
        <v>2751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2752</v>
      </c>
    </row>
    <row r="471" spans="1:4" x14ac:dyDescent="0.3">
      <c r="A471">
        <v>495</v>
      </c>
      <c r="B471" s="13">
        <v>45841</v>
      </c>
      <c r="C471" t="s">
        <v>2758</v>
      </c>
      <c r="D471" t="s">
        <v>2761</v>
      </c>
    </row>
    <row r="472" spans="1:4" x14ac:dyDescent="0.3">
      <c r="A472">
        <v>496</v>
      </c>
      <c r="B472" s="13">
        <v>45841</v>
      </c>
      <c r="C472" t="s">
        <v>1805</v>
      </c>
      <c r="D472" t="s">
        <v>2762</v>
      </c>
    </row>
    <row r="473" spans="1:4" x14ac:dyDescent="0.3">
      <c r="A473">
        <v>497</v>
      </c>
      <c r="B473" s="13">
        <v>45841</v>
      </c>
      <c r="C473" t="s">
        <v>2257</v>
      </c>
      <c r="D473" t="s">
        <v>2763</v>
      </c>
    </row>
    <row r="474" spans="1:4" x14ac:dyDescent="0.3">
      <c r="A474">
        <v>498</v>
      </c>
      <c r="B474" s="13">
        <v>45841</v>
      </c>
      <c r="C474" t="s">
        <v>1576</v>
      </c>
      <c r="D474" t="s">
        <v>2764</v>
      </c>
    </row>
    <row r="475" spans="1:4" x14ac:dyDescent="0.3">
      <c r="A475">
        <v>499</v>
      </c>
      <c r="B475" s="13">
        <v>45842</v>
      </c>
      <c r="C475" t="s">
        <v>1594</v>
      </c>
      <c r="D475" t="s">
        <v>2769</v>
      </c>
    </row>
    <row r="476" spans="1:4" x14ac:dyDescent="0.3">
      <c r="A476">
        <v>500</v>
      </c>
      <c r="B476" s="13">
        <v>45842</v>
      </c>
      <c r="C476" t="s">
        <v>1576</v>
      </c>
      <c r="D476" t="s">
        <v>2770</v>
      </c>
    </row>
    <row r="477" spans="1:4" x14ac:dyDescent="0.3">
      <c r="A477">
        <v>501</v>
      </c>
      <c r="B477" s="13">
        <v>45842</v>
      </c>
      <c r="C477" t="s">
        <v>1463</v>
      </c>
      <c r="D477" t="s">
        <v>2772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2773</v>
      </c>
    </row>
    <row r="479" spans="1:4" x14ac:dyDescent="0.3">
      <c r="A479">
        <v>503</v>
      </c>
      <c r="B479" s="13">
        <v>45843</v>
      </c>
      <c r="C479" t="s">
        <v>1537</v>
      </c>
      <c r="D479" t="s">
        <v>2775</v>
      </c>
    </row>
    <row r="480" spans="1:4" x14ac:dyDescent="0.3">
      <c r="A480">
        <v>504</v>
      </c>
      <c r="B480" s="13">
        <v>45845</v>
      </c>
      <c r="C480" t="s">
        <v>1537</v>
      </c>
      <c r="D480" t="s">
        <v>2776</v>
      </c>
    </row>
    <row r="481" spans="1:4" x14ac:dyDescent="0.3">
      <c r="A481">
        <v>505</v>
      </c>
      <c r="B481" s="13">
        <v>45845</v>
      </c>
      <c r="C481" t="s">
        <v>1440</v>
      </c>
      <c r="D481" t="s">
        <v>2777</v>
      </c>
    </row>
    <row r="482" spans="1:4" x14ac:dyDescent="0.3">
      <c r="A482">
        <v>506</v>
      </c>
      <c r="B482" s="13">
        <v>45845</v>
      </c>
      <c r="C482" t="s">
        <v>1475</v>
      </c>
      <c r="D482" t="s">
        <v>2778</v>
      </c>
    </row>
    <row r="483" spans="1:4" x14ac:dyDescent="0.3">
      <c r="A483">
        <v>507</v>
      </c>
      <c r="B483" s="13">
        <v>45845</v>
      </c>
      <c r="C483" t="s">
        <v>2785</v>
      </c>
      <c r="D483" t="s">
        <v>2789</v>
      </c>
    </row>
    <row r="484" spans="1:4" x14ac:dyDescent="0.3">
      <c r="A484">
        <v>508</v>
      </c>
      <c r="B484" s="13">
        <v>45845</v>
      </c>
      <c r="C484" t="s">
        <v>2593</v>
      </c>
      <c r="D484" t="s">
        <v>2790</v>
      </c>
    </row>
    <row r="485" spans="1:4" x14ac:dyDescent="0.3">
      <c r="A485">
        <v>509</v>
      </c>
      <c r="B485" s="13">
        <v>45845</v>
      </c>
      <c r="C485" t="s">
        <v>2779</v>
      </c>
      <c r="D485" t="s">
        <v>2791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2792</v>
      </c>
    </row>
    <row r="487" spans="1:4" x14ac:dyDescent="0.3">
      <c r="A487">
        <v>511</v>
      </c>
      <c r="B487" s="13">
        <v>45845</v>
      </c>
      <c r="C487" t="s">
        <v>1866</v>
      </c>
      <c r="D487" t="s">
        <v>2793</v>
      </c>
    </row>
    <row r="488" spans="1:4" x14ac:dyDescent="0.3">
      <c r="A488">
        <v>512</v>
      </c>
      <c r="B488" s="13">
        <v>45845</v>
      </c>
      <c r="C488" t="s">
        <v>1440</v>
      </c>
      <c r="D488" t="s">
        <v>2794</v>
      </c>
    </row>
    <row r="489" spans="1:4" x14ac:dyDescent="0.3">
      <c r="A489">
        <v>513</v>
      </c>
      <c r="B489" s="13">
        <v>45845</v>
      </c>
      <c r="C489" t="s">
        <v>1718</v>
      </c>
      <c r="D489" t="s">
        <v>2796</v>
      </c>
    </row>
    <row r="490" spans="1:4" x14ac:dyDescent="0.3">
      <c r="A490">
        <v>514</v>
      </c>
      <c r="B490" s="13">
        <v>45846</v>
      </c>
      <c r="C490" t="s">
        <v>1395</v>
      </c>
      <c r="D490" t="s">
        <v>2799</v>
      </c>
    </row>
    <row r="491" spans="1:4" x14ac:dyDescent="0.3">
      <c r="A491">
        <v>515</v>
      </c>
      <c r="B491" s="13">
        <v>45846</v>
      </c>
      <c r="C491" t="s">
        <v>2785</v>
      </c>
      <c r="D491" t="s">
        <v>2802</v>
      </c>
    </row>
    <row r="492" spans="1:4" x14ac:dyDescent="0.3">
      <c r="A492">
        <v>516</v>
      </c>
      <c r="B492" s="13">
        <v>45846</v>
      </c>
      <c r="C492" t="s">
        <v>1537</v>
      </c>
      <c r="D492" t="s">
        <v>2803</v>
      </c>
    </row>
    <row r="493" spans="1:4" x14ac:dyDescent="0.3">
      <c r="A493">
        <v>517</v>
      </c>
      <c r="B493" s="13">
        <v>45846</v>
      </c>
      <c r="C493" t="s">
        <v>1805</v>
      </c>
      <c r="D493" t="s">
        <v>2804</v>
      </c>
    </row>
    <row r="494" spans="1:4" x14ac:dyDescent="0.3">
      <c r="A494">
        <v>518</v>
      </c>
      <c r="B494" s="13">
        <v>45846</v>
      </c>
      <c r="C494" t="s">
        <v>2805</v>
      </c>
      <c r="D494" t="s">
        <v>2809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2811</v>
      </c>
    </row>
    <row r="496" spans="1:4" x14ac:dyDescent="0.3">
      <c r="A496">
        <v>520</v>
      </c>
      <c r="B496" s="13">
        <v>45846</v>
      </c>
      <c r="C496" t="s">
        <v>1582</v>
      </c>
      <c r="D496" t="s">
        <v>2812</v>
      </c>
    </row>
    <row r="497" spans="1:4" x14ac:dyDescent="0.3">
      <c r="A497">
        <v>521</v>
      </c>
      <c r="B497" s="13">
        <v>45846</v>
      </c>
      <c r="C497" t="s">
        <v>1573</v>
      </c>
      <c r="D497" t="s">
        <v>2813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2814</v>
      </c>
    </row>
    <row r="499" spans="1:4" x14ac:dyDescent="0.3">
      <c r="A499">
        <v>523</v>
      </c>
      <c r="B499" s="13">
        <v>45847</v>
      </c>
      <c r="C499" t="s">
        <v>1395</v>
      </c>
      <c r="D499" t="s">
        <v>2815</v>
      </c>
    </row>
    <row r="500" spans="1:4" x14ac:dyDescent="0.3">
      <c r="A500">
        <v>524</v>
      </c>
      <c r="B500" s="13">
        <v>45847</v>
      </c>
      <c r="C500" t="s">
        <v>2406</v>
      </c>
      <c r="D500" t="s">
        <v>2817</v>
      </c>
    </row>
    <row r="501" spans="1:4" x14ac:dyDescent="0.3">
      <c r="A501">
        <v>525</v>
      </c>
      <c r="B501" s="13">
        <v>45847</v>
      </c>
      <c r="C501" t="s">
        <v>2254</v>
      </c>
      <c r="D501" t="s">
        <v>2821</v>
      </c>
    </row>
    <row r="502" spans="1:4" x14ac:dyDescent="0.3">
      <c r="A502">
        <v>526</v>
      </c>
      <c r="B502" s="13">
        <v>45847</v>
      </c>
      <c r="C502" t="s">
        <v>1440</v>
      </c>
      <c r="D502" t="s">
        <v>2822</v>
      </c>
    </row>
    <row r="503" spans="1:4" x14ac:dyDescent="0.3">
      <c r="A503">
        <v>527</v>
      </c>
      <c r="B503" s="13">
        <v>45847</v>
      </c>
      <c r="C503" t="s">
        <v>1718</v>
      </c>
      <c r="D503" t="s">
        <v>2823</v>
      </c>
    </row>
    <row r="504" spans="1:4" x14ac:dyDescent="0.3">
      <c r="A504">
        <v>528</v>
      </c>
      <c r="B504" s="13">
        <v>45847</v>
      </c>
      <c r="C504" t="s">
        <v>1395</v>
      </c>
      <c r="D504" t="s">
        <v>2824</v>
      </c>
    </row>
    <row r="505" spans="1:4" x14ac:dyDescent="0.3">
      <c r="A505">
        <v>529</v>
      </c>
      <c r="B505" s="13">
        <v>45847</v>
      </c>
      <c r="C505" t="s">
        <v>1743</v>
      </c>
      <c r="D505" t="s">
        <v>2825</v>
      </c>
    </row>
    <row r="506" spans="1:4" x14ac:dyDescent="0.3">
      <c r="A506">
        <v>530</v>
      </c>
      <c r="B506" s="13">
        <v>45847</v>
      </c>
      <c r="C506" t="s">
        <v>2406</v>
      </c>
      <c r="D506" t="s">
        <v>2826</v>
      </c>
    </row>
    <row r="507" spans="1:4" x14ac:dyDescent="0.3">
      <c r="A507">
        <v>531</v>
      </c>
      <c r="B507" s="13">
        <v>45848</v>
      </c>
      <c r="C507" t="s">
        <v>2721</v>
      </c>
      <c r="D507" t="s">
        <v>2831</v>
      </c>
    </row>
    <row r="508" spans="1:4" x14ac:dyDescent="0.3">
      <c r="A508">
        <v>532</v>
      </c>
      <c r="B508" s="13">
        <v>45848</v>
      </c>
      <c r="C508" t="s">
        <v>2315</v>
      </c>
      <c r="D508" t="s">
        <v>2833</v>
      </c>
    </row>
    <row r="509" spans="1:4" x14ac:dyDescent="0.3">
      <c r="A509">
        <v>533</v>
      </c>
      <c r="B509" s="13">
        <v>45848</v>
      </c>
      <c r="C509" t="s">
        <v>1395</v>
      </c>
      <c r="D509" t="s">
        <v>2834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2835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2837</v>
      </c>
    </row>
    <row r="512" spans="1:4" x14ac:dyDescent="0.3">
      <c r="A512">
        <v>536</v>
      </c>
      <c r="B512" s="13">
        <v>45849</v>
      </c>
      <c r="C512" t="s">
        <v>1573</v>
      </c>
      <c r="D512" t="s">
        <v>2847</v>
      </c>
    </row>
    <row r="513" spans="1:4" x14ac:dyDescent="0.3">
      <c r="A513">
        <v>537</v>
      </c>
      <c r="B513" s="13">
        <v>45849</v>
      </c>
      <c r="C513" t="s">
        <v>1576</v>
      </c>
      <c r="D513" t="s">
        <v>2848</v>
      </c>
    </row>
    <row r="514" spans="1:4" x14ac:dyDescent="0.3">
      <c r="A514">
        <v>538</v>
      </c>
      <c r="B514" s="13">
        <v>45849</v>
      </c>
      <c r="C514" t="s">
        <v>1395</v>
      </c>
      <c r="D514" t="s">
        <v>2849</v>
      </c>
    </row>
    <row r="515" spans="1:4" x14ac:dyDescent="0.3">
      <c r="A515">
        <v>539</v>
      </c>
      <c r="B515" s="13">
        <v>45849</v>
      </c>
      <c r="C515" t="s">
        <v>1454</v>
      </c>
      <c r="D515" t="s">
        <v>2850</v>
      </c>
    </row>
    <row r="516" spans="1:4" x14ac:dyDescent="0.3">
      <c r="A516">
        <v>540</v>
      </c>
      <c r="B516" s="13">
        <v>45849</v>
      </c>
      <c r="C516" t="s">
        <v>1445</v>
      </c>
      <c r="D516" t="s">
        <v>2851</v>
      </c>
    </row>
    <row r="517" spans="1:4" x14ac:dyDescent="0.3">
      <c r="A517">
        <v>541</v>
      </c>
      <c r="B517" s="13">
        <v>45849</v>
      </c>
      <c r="C517" t="s">
        <v>1582</v>
      </c>
      <c r="D517" t="s">
        <v>2852</v>
      </c>
    </row>
    <row r="518" spans="1:4" x14ac:dyDescent="0.3">
      <c r="A518">
        <v>542</v>
      </c>
      <c r="B518" s="13">
        <v>45849</v>
      </c>
      <c r="C518" t="s">
        <v>1582</v>
      </c>
      <c r="D518" t="s">
        <v>2853</v>
      </c>
    </row>
    <row r="519" spans="1:4" x14ac:dyDescent="0.3">
      <c r="A519">
        <v>543</v>
      </c>
      <c r="B519" s="13">
        <v>45849</v>
      </c>
      <c r="C519" t="s">
        <v>2854</v>
      </c>
      <c r="D519" t="s">
        <v>2855</v>
      </c>
    </row>
    <row r="520" spans="1:4" x14ac:dyDescent="0.3">
      <c r="A520">
        <v>544</v>
      </c>
      <c r="B520" s="13">
        <v>45850</v>
      </c>
      <c r="C520" t="s">
        <v>1594</v>
      </c>
      <c r="D520" t="s">
        <v>2858</v>
      </c>
    </row>
    <row r="521" spans="1:4" x14ac:dyDescent="0.3">
      <c r="A521">
        <v>545</v>
      </c>
      <c r="B521" s="13">
        <v>45850</v>
      </c>
      <c r="C521" t="s">
        <v>2721</v>
      </c>
      <c r="D521" t="s">
        <v>2860</v>
      </c>
    </row>
    <row r="522" spans="1:4" x14ac:dyDescent="0.3">
      <c r="A522">
        <v>546</v>
      </c>
      <c r="B522" s="13">
        <v>45852</v>
      </c>
      <c r="C522" t="s">
        <v>2865</v>
      </c>
      <c r="D522" t="s">
        <v>2868</v>
      </c>
    </row>
    <row r="523" spans="1:4" x14ac:dyDescent="0.3">
      <c r="A523">
        <v>547</v>
      </c>
      <c r="B523" s="13">
        <v>45852</v>
      </c>
      <c r="C523" t="s">
        <v>2869</v>
      </c>
      <c r="D523" t="s">
        <v>2873</v>
      </c>
    </row>
    <row r="524" spans="1:4" x14ac:dyDescent="0.3">
      <c r="A524">
        <v>548</v>
      </c>
      <c r="B524" s="13">
        <v>45852</v>
      </c>
      <c r="C524" t="s">
        <v>1395</v>
      </c>
      <c r="D524" t="s">
        <v>2874</v>
      </c>
    </row>
    <row r="525" spans="1:4" x14ac:dyDescent="0.3">
      <c r="A525">
        <v>549</v>
      </c>
      <c r="B525" s="13">
        <v>45852</v>
      </c>
      <c r="C525" t="s">
        <v>2406</v>
      </c>
      <c r="D525" t="s">
        <v>2875</v>
      </c>
    </row>
    <row r="526" spans="1:4" x14ac:dyDescent="0.3">
      <c r="A526">
        <v>550</v>
      </c>
      <c r="B526" s="13">
        <v>45852</v>
      </c>
      <c r="C526" t="s">
        <v>2315</v>
      </c>
      <c r="D526" t="s">
        <v>2877</v>
      </c>
    </row>
    <row r="527" spans="1:4" x14ac:dyDescent="0.3">
      <c r="A527">
        <v>551</v>
      </c>
      <c r="B527" s="13">
        <v>45852</v>
      </c>
      <c r="C527" t="s">
        <v>1594</v>
      </c>
      <c r="D527" t="s">
        <v>2878</v>
      </c>
    </row>
    <row r="528" spans="1:4" x14ac:dyDescent="0.3">
      <c r="A528">
        <v>552</v>
      </c>
      <c r="B528" s="13">
        <v>45852</v>
      </c>
      <c r="C528" t="s">
        <v>1440</v>
      </c>
      <c r="D528" t="s">
        <v>2879</v>
      </c>
    </row>
    <row r="529" spans="1:4" x14ac:dyDescent="0.3">
      <c r="A529">
        <v>553</v>
      </c>
      <c r="B529" s="13">
        <v>45853</v>
      </c>
      <c r="C529" t="s">
        <v>2406</v>
      </c>
      <c r="D529" t="s">
        <v>2890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2891</v>
      </c>
    </row>
    <row r="531" spans="1:4" x14ac:dyDescent="0.3">
      <c r="A531">
        <v>555</v>
      </c>
      <c r="B531" s="13">
        <v>45853</v>
      </c>
      <c r="C531" t="s">
        <v>2892</v>
      </c>
      <c r="D531" t="s">
        <v>2895</v>
      </c>
    </row>
    <row r="532" spans="1:4" x14ac:dyDescent="0.3">
      <c r="A532">
        <v>556</v>
      </c>
      <c r="B532" s="13">
        <v>45853</v>
      </c>
      <c r="C532" t="s">
        <v>2315</v>
      </c>
      <c r="D532" t="s">
        <v>2896</v>
      </c>
    </row>
    <row r="533" spans="1:4" x14ac:dyDescent="0.3">
      <c r="A533">
        <v>557</v>
      </c>
      <c r="B533" s="13">
        <v>45853</v>
      </c>
      <c r="C533" t="s">
        <v>1463</v>
      </c>
      <c r="D533" t="s">
        <v>2897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2898</v>
      </c>
    </row>
    <row r="535" spans="1:4" x14ac:dyDescent="0.3">
      <c r="A535">
        <v>559</v>
      </c>
      <c r="B535" s="13">
        <v>45853</v>
      </c>
      <c r="C535" t="s">
        <v>1452</v>
      </c>
      <c r="D535" t="s">
        <v>2899</v>
      </c>
    </row>
    <row r="536" spans="1:4" x14ac:dyDescent="0.3">
      <c r="A536">
        <v>560</v>
      </c>
      <c r="B536" s="13">
        <v>45853</v>
      </c>
      <c r="C536" t="s">
        <v>2886</v>
      </c>
      <c r="D536" t="s">
        <v>2901</v>
      </c>
    </row>
    <row r="537" spans="1:4" x14ac:dyDescent="0.3">
      <c r="A537">
        <v>561</v>
      </c>
      <c r="B537" s="13">
        <v>45853</v>
      </c>
      <c r="C537" t="s">
        <v>1718</v>
      </c>
      <c r="D537" t="s">
        <v>2902</v>
      </c>
    </row>
    <row r="538" spans="1:4" x14ac:dyDescent="0.3">
      <c r="A538">
        <v>562</v>
      </c>
      <c r="B538" s="13">
        <v>45854</v>
      </c>
      <c r="C538" t="s">
        <v>2288</v>
      </c>
      <c r="D538" t="s">
        <v>2908</v>
      </c>
    </row>
    <row r="539" spans="1:4" x14ac:dyDescent="0.3">
      <c r="A539">
        <v>563</v>
      </c>
      <c r="B539" s="13">
        <v>45854</v>
      </c>
      <c r="C539" t="s">
        <v>1801</v>
      </c>
      <c r="D539" t="s">
        <v>2910</v>
      </c>
    </row>
    <row r="540" spans="1:4" x14ac:dyDescent="0.3">
      <c r="A540">
        <v>564</v>
      </c>
      <c r="B540" s="13">
        <v>45854</v>
      </c>
      <c r="C540" t="s">
        <v>1667</v>
      </c>
      <c r="D540" t="s">
        <v>2911</v>
      </c>
    </row>
    <row r="541" spans="1:4" x14ac:dyDescent="0.3">
      <c r="A541">
        <v>565</v>
      </c>
      <c r="B541" s="13">
        <v>45854</v>
      </c>
      <c r="C541" t="s">
        <v>2912</v>
      </c>
      <c r="D541" t="s">
        <v>2914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2921</v>
      </c>
    </row>
    <row r="543" spans="1:4" x14ac:dyDescent="0.3">
      <c r="A543">
        <v>567</v>
      </c>
      <c r="B543" s="13">
        <v>45855</v>
      </c>
      <c r="C543" t="s">
        <v>1463</v>
      </c>
      <c r="D543" t="s">
        <v>2923</v>
      </c>
    </row>
    <row r="544" spans="1:4" x14ac:dyDescent="0.3">
      <c r="A544">
        <v>568</v>
      </c>
      <c r="B544" s="13">
        <v>45855</v>
      </c>
      <c r="C544" t="s">
        <v>2619</v>
      </c>
      <c r="D544" t="s">
        <v>2924</v>
      </c>
    </row>
    <row r="545" spans="1:4" x14ac:dyDescent="0.3">
      <c r="A545">
        <v>569</v>
      </c>
      <c r="B545" s="13">
        <v>45855</v>
      </c>
      <c r="C545" t="s">
        <v>1395</v>
      </c>
      <c r="D545" t="s">
        <v>2925</v>
      </c>
    </row>
    <row r="546" spans="1:4" x14ac:dyDescent="0.3">
      <c r="A546">
        <v>570</v>
      </c>
      <c r="B546" s="13">
        <v>45856</v>
      </c>
      <c r="C546" t="s">
        <v>1445</v>
      </c>
      <c r="D546" t="s">
        <v>2930</v>
      </c>
    </row>
    <row r="547" spans="1:4" x14ac:dyDescent="0.3">
      <c r="A547">
        <v>571</v>
      </c>
      <c r="B547" s="13">
        <v>45856</v>
      </c>
      <c r="C547" t="s">
        <v>2931</v>
      </c>
      <c r="D547" t="s">
        <v>2935</v>
      </c>
    </row>
    <row r="548" spans="1:4" x14ac:dyDescent="0.3">
      <c r="A548">
        <v>572</v>
      </c>
      <c r="B548" s="13">
        <v>45856</v>
      </c>
      <c r="C548" t="s">
        <v>1475</v>
      </c>
      <c r="D548" t="s">
        <v>2937</v>
      </c>
    </row>
    <row r="549" spans="1:4" x14ac:dyDescent="0.3">
      <c r="A549">
        <v>573</v>
      </c>
      <c r="B549" s="13">
        <v>45856</v>
      </c>
      <c r="C549" t="s">
        <v>2938</v>
      </c>
      <c r="D549" t="s">
        <v>2940</v>
      </c>
    </row>
    <row r="550" spans="1:4" x14ac:dyDescent="0.3">
      <c r="A550">
        <v>574</v>
      </c>
      <c r="B550" s="13">
        <v>45856</v>
      </c>
      <c r="C550" t="s">
        <v>1843</v>
      </c>
      <c r="D550" t="s">
        <v>2941</v>
      </c>
    </row>
    <row r="551" spans="1:4" x14ac:dyDescent="0.3">
      <c r="A551">
        <v>575</v>
      </c>
      <c r="B551" s="13">
        <v>45856</v>
      </c>
      <c r="C551" t="s">
        <v>1976</v>
      </c>
      <c r="D551" t="s">
        <v>2942</v>
      </c>
    </row>
    <row r="552" spans="1:4" x14ac:dyDescent="0.3">
      <c r="A552">
        <v>576</v>
      </c>
      <c r="B552" s="13">
        <v>45857</v>
      </c>
      <c r="C552" t="s">
        <v>2315</v>
      </c>
      <c r="D552" t="s">
        <v>2947</v>
      </c>
    </row>
    <row r="553" spans="1:4" x14ac:dyDescent="0.3">
      <c r="A553">
        <v>577</v>
      </c>
      <c r="B553" s="13">
        <v>45859</v>
      </c>
      <c r="C553" t="s">
        <v>2606</v>
      </c>
      <c r="D553" t="s">
        <v>2949</v>
      </c>
    </row>
    <row r="554" spans="1:4" x14ac:dyDescent="0.3">
      <c r="A554">
        <v>578</v>
      </c>
      <c r="B554" s="13">
        <v>45859</v>
      </c>
      <c r="C554" t="s">
        <v>2254</v>
      </c>
      <c r="D554" t="s">
        <v>2952</v>
      </c>
    </row>
    <row r="555" spans="1:4" x14ac:dyDescent="0.3">
      <c r="A555">
        <v>579</v>
      </c>
      <c r="B555" s="13">
        <v>45859</v>
      </c>
      <c r="C555" t="s">
        <v>1550</v>
      </c>
      <c r="D555" t="s">
        <v>2953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2955</v>
      </c>
    </row>
    <row r="557" spans="1:4" x14ac:dyDescent="0.3">
      <c r="A557">
        <v>581</v>
      </c>
      <c r="B557" s="13">
        <v>45859</v>
      </c>
      <c r="C557" t="s">
        <v>1465</v>
      </c>
      <c r="D557" t="s">
        <v>2956</v>
      </c>
    </row>
    <row r="558" spans="1:4" x14ac:dyDescent="0.3">
      <c r="A558">
        <v>582</v>
      </c>
      <c r="B558" s="13">
        <v>45860</v>
      </c>
      <c r="C558" t="s">
        <v>1537</v>
      </c>
      <c r="D558" t="s">
        <v>2957</v>
      </c>
    </row>
    <row r="559" spans="1:4" x14ac:dyDescent="0.3">
      <c r="A559">
        <v>583</v>
      </c>
      <c r="B559" s="13">
        <v>45860</v>
      </c>
      <c r="C559" t="s">
        <v>1808</v>
      </c>
      <c r="D559" t="s">
        <v>2958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2959</v>
      </c>
    </row>
    <row r="561" spans="1:4" x14ac:dyDescent="0.3">
      <c r="A561">
        <v>585</v>
      </c>
      <c r="B561" s="13">
        <v>45860</v>
      </c>
      <c r="C561" t="s">
        <v>2960</v>
      </c>
      <c r="D561" t="s">
        <v>2964</v>
      </c>
    </row>
    <row r="562" spans="1:4" x14ac:dyDescent="0.3">
      <c r="A562">
        <v>586</v>
      </c>
      <c r="B562" s="13">
        <v>45860</v>
      </c>
      <c r="C562" t="s">
        <v>1718</v>
      </c>
      <c r="D562" t="s">
        <v>2965</v>
      </c>
    </row>
    <row r="563" spans="1:4" x14ac:dyDescent="0.3">
      <c r="A563">
        <v>587</v>
      </c>
      <c r="B563" s="13">
        <v>45860</v>
      </c>
      <c r="C563" t="s">
        <v>2886</v>
      </c>
      <c r="D563" t="s">
        <v>2966</v>
      </c>
    </row>
    <row r="564" spans="1:4" x14ac:dyDescent="0.3">
      <c r="A564">
        <v>588</v>
      </c>
      <c r="B564" s="13">
        <v>45861</v>
      </c>
      <c r="C564" t="s">
        <v>1395</v>
      </c>
      <c r="D564" t="s">
        <v>2972</v>
      </c>
    </row>
    <row r="565" spans="1:4" x14ac:dyDescent="0.3">
      <c r="A565">
        <v>589</v>
      </c>
      <c r="B565" s="13">
        <v>45861</v>
      </c>
      <c r="C565" t="s">
        <v>1743</v>
      </c>
      <c r="D565" t="s">
        <v>2973</v>
      </c>
    </row>
    <row r="566" spans="1:4" x14ac:dyDescent="0.3">
      <c r="A566">
        <v>590</v>
      </c>
      <c r="B566" s="13">
        <v>45861</v>
      </c>
      <c r="C566" t="s">
        <v>1805</v>
      </c>
      <c r="D566" t="s">
        <v>2974</v>
      </c>
    </row>
    <row r="567" spans="1:4" x14ac:dyDescent="0.3">
      <c r="A567">
        <v>591</v>
      </c>
      <c r="B567" s="13">
        <v>45861</v>
      </c>
      <c r="C567" t="s">
        <v>1843</v>
      </c>
      <c r="D567" t="s">
        <v>2975</v>
      </c>
    </row>
    <row r="568" spans="1:4" x14ac:dyDescent="0.3">
      <c r="A568">
        <v>592</v>
      </c>
      <c r="B568" s="13">
        <v>45861</v>
      </c>
      <c r="C568" t="s">
        <v>1463</v>
      </c>
      <c r="D568" t="s">
        <v>2976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2977</v>
      </c>
    </row>
    <row r="570" spans="1:4" x14ac:dyDescent="0.3">
      <c r="A570">
        <v>594</v>
      </c>
      <c r="B570" s="13">
        <v>45861</v>
      </c>
      <c r="C570" t="s">
        <v>2315</v>
      </c>
      <c r="D570" t="s">
        <v>2978</v>
      </c>
    </row>
    <row r="571" spans="1:4" x14ac:dyDescent="0.3">
      <c r="A571">
        <v>595</v>
      </c>
      <c r="B571" s="13">
        <v>45862</v>
      </c>
      <c r="C571" t="s">
        <v>1395</v>
      </c>
      <c r="D571" t="s">
        <v>2985</v>
      </c>
    </row>
    <row r="572" spans="1:4" x14ac:dyDescent="0.3">
      <c r="A572">
        <v>596</v>
      </c>
      <c r="B572" s="13">
        <v>45862</v>
      </c>
      <c r="C572" t="s">
        <v>1866</v>
      </c>
      <c r="D572" t="s">
        <v>2986</v>
      </c>
    </row>
    <row r="573" spans="1:4" x14ac:dyDescent="0.3">
      <c r="A573">
        <v>597</v>
      </c>
      <c r="B573" s="13">
        <v>45862</v>
      </c>
      <c r="C573" t="s">
        <v>1454</v>
      </c>
      <c r="D573" t="s">
        <v>2987</v>
      </c>
    </row>
    <row r="574" spans="1:4" x14ac:dyDescent="0.3">
      <c r="A574">
        <v>598</v>
      </c>
      <c r="B574" s="13">
        <v>45862</v>
      </c>
      <c r="C574" t="s">
        <v>1445</v>
      </c>
      <c r="D574" t="s">
        <v>2988</v>
      </c>
    </row>
    <row r="575" spans="1:4" x14ac:dyDescent="0.3">
      <c r="A575">
        <v>599</v>
      </c>
      <c r="B575" s="13">
        <v>45862</v>
      </c>
      <c r="C575" t="s">
        <v>1576</v>
      </c>
      <c r="D575" t="s">
        <v>2989</v>
      </c>
    </row>
    <row r="576" spans="1:4" x14ac:dyDescent="0.3">
      <c r="A576">
        <v>600</v>
      </c>
      <c r="B576" s="13">
        <v>45862</v>
      </c>
      <c r="C576" t="s">
        <v>1440</v>
      </c>
      <c r="D576" t="s">
        <v>2992</v>
      </c>
    </row>
    <row r="577" spans="1:4" x14ac:dyDescent="0.3">
      <c r="A577">
        <v>601</v>
      </c>
      <c r="B577" s="13">
        <v>45862</v>
      </c>
      <c r="C577" t="s">
        <v>1448</v>
      </c>
      <c r="D577" t="s">
        <v>2993</v>
      </c>
    </row>
    <row r="578" spans="1:4" x14ac:dyDescent="0.3">
      <c r="A578">
        <v>602</v>
      </c>
      <c r="B578" s="13">
        <v>45862</v>
      </c>
      <c r="C578" t="s">
        <v>2994</v>
      </c>
      <c r="D578" t="s">
        <v>2995</v>
      </c>
    </row>
    <row r="579" spans="1:4" x14ac:dyDescent="0.3">
      <c r="A579">
        <v>603</v>
      </c>
      <c r="B579" s="13">
        <v>45862</v>
      </c>
      <c r="C579" t="s">
        <v>1454</v>
      </c>
      <c r="D579" t="s">
        <v>2998</v>
      </c>
    </row>
    <row r="580" spans="1:4" x14ac:dyDescent="0.3">
      <c r="A580">
        <v>604</v>
      </c>
      <c r="B580" s="13">
        <v>45863</v>
      </c>
      <c r="C580" t="s">
        <v>2382</v>
      </c>
      <c r="D580" t="s">
        <v>3001</v>
      </c>
    </row>
    <row r="581" spans="1:4" x14ac:dyDescent="0.3">
      <c r="A581">
        <v>605</v>
      </c>
      <c r="B581" s="13">
        <v>45863</v>
      </c>
      <c r="C581" t="s">
        <v>1976</v>
      </c>
      <c r="D581" t="s">
        <v>3002</v>
      </c>
    </row>
    <row r="582" spans="1:4" x14ac:dyDescent="0.3">
      <c r="A582">
        <v>606</v>
      </c>
      <c r="B582" s="13">
        <v>45863</v>
      </c>
      <c r="C582" t="s">
        <v>1976</v>
      </c>
      <c r="D582" t="s">
        <v>3003</v>
      </c>
    </row>
    <row r="583" spans="1:4" x14ac:dyDescent="0.3">
      <c r="A583">
        <v>607</v>
      </c>
      <c r="B583" s="13">
        <v>45863</v>
      </c>
      <c r="C583" t="s">
        <v>1594</v>
      </c>
      <c r="D583" t="s">
        <v>3004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3006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3007</v>
      </c>
    </row>
    <row r="586" spans="1:4" x14ac:dyDescent="0.3">
      <c r="A586">
        <v>610</v>
      </c>
      <c r="B586" s="13">
        <v>45863</v>
      </c>
      <c r="C586" t="s">
        <v>1475</v>
      </c>
      <c r="D586" t="s">
        <v>3008</v>
      </c>
    </row>
    <row r="587" spans="1:4" x14ac:dyDescent="0.3">
      <c r="A587">
        <v>611</v>
      </c>
      <c r="B587" s="13">
        <v>45863</v>
      </c>
      <c r="C587" t="s">
        <v>1465</v>
      </c>
      <c r="D587" t="s">
        <v>3009</v>
      </c>
    </row>
    <row r="588" spans="1:4" x14ac:dyDescent="0.3">
      <c r="A588">
        <v>612</v>
      </c>
      <c r="B588" s="13">
        <v>45864</v>
      </c>
      <c r="C588" t="s">
        <v>1440</v>
      </c>
      <c r="D588" t="s">
        <v>3010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3011</v>
      </c>
    </row>
    <row r="590" spans="1:4" x14ac:dyDescent="0.3">
      <c r="A590">
        <v>614</v>
      </c>
      <c r="B590" s="13">
        <v>45866</v>
      </c>
      <c r="C590" t="s">
        <v>1395</v>
      </c>
      <c r="D590" t="s">
        <v>3012</v>
      </c>
    </row>
    <row r="591" spans="1:4" x14ac:dyDescent="0.3">
      <c r="A591">
        <v>615</v>
      </c>
      <c r="B591" s="13">
        <v>45866</v>
      </c>
      <c r="C591" t="s">
        <v>1743</v>
      </c>
      <c r="D591" t="s">
        <v>3013</v>
      </c>
    </row>
    <row r="592" spans="1:4" x14ac:dyDescent="0.3">
      <c r="A592">
        <v>616</v>
      </c>
      <c r="B592" s="13">
        <v>45866</v>
      </c>
      <c r="C592" t="s">
        <v>1843</v>
      </c>
      <c r="D592" t="s">
        <v>3014</v>
      </c>
    </row>
    <row r="593" spans="1:4" x14ac:dyDescent="0.3">
      <c r="A593">
        <v>617</v>
      </c>
      <c r="B593" s="13">
        <v>45866</v>
      </c>
      <c r="C593" t="s">
        <v>1667</v>
      </c>
      <c r="D593" t="s">
        <v>3015</v>
      </c>
    </row>
    <row r="594" spans="1:4" x14ac:dyDescent="0.3">
      <c r="A594">
        <v>618</v>
      </c>
      <c r="B594" s="13">
        <v>45866</v>
      </c>
      <c r="C594" t="s">
        <v>1469</v>
      </c>
      <c r="D594" t="s">
        <v>3016</v>
      </c>
    </row>
    <row r="595" spans="1:4" x14ac:dyDescent="0.3">
      <c r="A595">
        <v>619</v>
      </c>
      <c r="B595" s="13">
        <v>45866</v>
      </c>
      <c r="C595" t="s">
        <v>3017</v>
      </c>
      <c r="D595" t="s">
        <v>3020</v>
      </c>
    </row>
    <row r="596" spans="1:4" x14ac:dyDescent="0.3">
      <c r="A596">
        <v>620</v>
      </c>
      <c r="B596" s="13">
        <v>45866</v>
      </c>
      <c r="C596" t="s">
        <v>1540</v>
      </c>
      <c r="D596" t="s">
        <v>3021</v>
      </c>
    </row>
    <row r="597" spans="1:4" x14ac:dyDescent="0.3">
      <c r="A597">
        <v>621</v>
      </c>
      <c r="B597" s="13">
        <v>45866</v>
      </c>
      <c r="C597" t="s">
        <v>1857</v>
      </c>
      <c r="D597" t="s">
        <v>3022</v>
      </c>
    </row>
    <row r="598" spans="1:4" x14ac:dyDescent="0.3">
      <c r="A598">
        <v>622</v>
      </c>
      <c r="B598" s="13">
        <v>45866</v>
      </c>
      <c r="C598" t="s">
        <v>1743</v>
      </c>
      <c r="D598" t="s">
        <v>3023</v>
      </c>
    </row>
    <row r="599" spans="1:4" x14ac:dyDescent="0.3">
      <c r="A599">
        <v>623</v>
      </c>
      <c r="B599" s="13">
        <v>45866</v>
      </c>
      <c r="C599" t="s">
        <v>1445</v>
      </c>
      <c r="D599" t="s">
        <v>3024</v>
      </c>
    </row>
    <row r="600" spans="1:4" x14ac:dyDescent="0.3">
      <c r="A600">
        <v>624</v>
      </c>
      <c r="B600" s="13">
        <v>45866</v>
      </c>
      <c r="C600" t="s">
        <v>3025</v>
      </c>
      <c r="D600" t="s">
        <v>3030</v>
      </c>
    </row>
    <row r="601" spans="1:4" x14ac:dyDescent="0.3">
      <c r="A601">
        <v>625</v>
      </c>
      <c r="B601" s="13">
        <v>45867</v>
      </c>
      <c r="C601" t="s">
        <v>1440</v>
      </c>
      <c r="D601" t="s">
        <v>3057</v>
      </c>
    </row>
    <row r="602" spans="1:4" x14ac:dyDescent="0.3">
      <c r="A602">
        <v>626</v>
      </c>
      <c r="B602" s="13">
        <v>45867</v>
      </c>
      <c r="C602" t="s">
        <v>1786</v>
      </c>
      <c r="D602" t="s">
        <v>3058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3059</v>
      </c>
    </row>
    <row r="604" spans="1:4" x14ac:dyDescent="0.3">
      <c r="A604">
        <v>628</v>
      </c>
      <c r="B604" s="13">
        <v>45867</v>
      </c>
      <c r="C604" t="s">
        <v>1302</v>
      </c>
      <c r="D604" t="s">
        <v>3060</v>
      </c>
    </row>
    <row r="605" spans="1:4" x14ac:dyDescent="0.3">
      <c r="A605">
        <v>629</v>
      </c>
      <c r="B605" s="13">
        <v>45867</v>
      </c>
      <c r="C605" t="s">
        <v>1801</v>
      </c>
      <c r="D605" t="s">
        <v>3061</v>
      </c>
    </row>
    <row r="606" spans="1:4" x14ac:dyDescent="0.3">
      <c r="A606">
        <v>630</v>
      </c>
      <c r="B606" s="13">
        <v>45867</v>
      </c>
      <c r="C606" t="s">
        <v>2912</v>
      </c>
      <c r="D606" t="s">
        <v>3062</v>
      </c>
    </row>
    <row r="607" spans="1:4" x14ac:dyDescent="0.3">
      <c r="A607">
        <v>631</v>
      </c>
      <c r="B607" s="13">
        <v>45867</v>
      </c>
      <c r="C607" t="s">
        <v>1718</v>
      </c>
      <c r="D607" t="s">
        <v>3063</v>
      </c>
    </row>
    <row r="608" spans="1:4" x14ac:dyDescent="0.3">
      <c r="A608">
        <v>632</v>
      </c>
      <c r="B608" s="13">
        <v>45867</v>
      </c>
      <c r="C608" t="s">
        <v>1440</v>
      </c>
      <c r="D608" t="s">
        <v>3064</v>
      </c>
    </row>
    <row r="609" spans="1:4" x14ac:dyDescent="0.3">
      <c r="A609">
        <v>633</v>
      </c>
      <c r="B609" s="13">
        <v>45868</v>
      </c>
      <c r="C609" t="s">
        <v>1973</v>
      </c>
      <c r="D609" t="s">
        <v>3067</v>
      </c>
    </row>
    <row r="610" spans="1:4" x14ac:dyDescent="0.3">
      <c r="A610">
        <v>634</v>
      </c>
      <c r="B610" s="13">
        <v>45868</v>
      </c>
      <c r="C610" t="s">
        <v>1805</v>
      </c>
      <c r="D610" t="s">
        <v>3068</v>
      </c>
    </row>
    <row r="611" spans="1:4" x14ac:dyDescent="0.3">
      <c r="A611">
        <v>635</v>
      </c>
      <c r="B611" s="13">
        <v>45868</v>
      </c>
      <c r="C611" t="s">
        <v>2785</v>
      </c>
      <c r="D611" t="s">
        <v>3069</v>
      </c>
    </row>
    <row r="612" spans="1:4" x14ac:dyDescent="0.3">
      <c r="A612">
        <v>636</v>
      </c>
      <c r="B612" s="13">
        <v>45868</v>
      </c>
      <c r="C612" t="s">
        <v>1801</v>
      </c>
      <c r="D612" t="s">
        <v>3071</v>
      </c>
    </row>
    <row r="613" spans="1:4" x14ac:dyDescent="0.3">
      <c r="A613">
        <v>637</v>
      </c>
      <c r="B613" s="13">
        <v>45868</v>
      </c>
      <c r="C613" t="s">
        <v>1573</v>
      </c>
      <c r="D613" t="s">
        <v>3072</v>
      </c>
    </row>
    <row r="614" spans="1:4" x14ac:dyDescent="0.3">
      <c r="A614">
        <v>638</v>
      </c>
      <c r="B614" s="13">
        <v>45868</v>
      </c>
      <c r="C614" t="s">
        <v>3073</v>
      </c>
      <c r="D614" t="s">
        <v>3077</v>
      </c>
    </row>
    <row r="615" spans="1:4" x14ac:dyDescent="0.3">
      <c r="A615">
        <v>639</v>
      </c>
      <c r="B615" s="13">
        <v>45868</v>
      </c>
      <c r="C615" t="s">
        <v>2315</v>
      </c>
      <c r="D615" t="s">
        <v>3078</v>
      </c>
    </row>
    <row r="616" spans="1:4" x14ac:dyDescent="0.3">
      <c r="A616">
        <v>640</v>
      </c>
      <c r="B616" s="13">
        <v>45869</v>
      </c>
      <c r="C616" t="s">
        <v>1469</v>
      </c>
      <c r="D616" t="s">
        <v>3081</v>
      </c>
    </row>
    <row r="617" spans="1:4" x14ac:dyDescent="0.3">
      <c r="A617">
        <v>641</v>
      </c>
      <c r="B617" s="13">
        <v>45869</v>
      </c>
      <c r="C617" t="s">
        <v>1786</v>
      </c>
      <c r="D617" t="s">
        <v>3082</v>
      </c>
    </row>
    <row r="618" spans="1:4" x14ac:dyDescent="0.3">
      <c r="A618">
        <v>642</v>
      </c>
      <c r="B618" s="13">
        <v>45869</v>
      </c>
      <c r="C618" t="s">
        <v>1494</v>
      </c>
      <c r="D618" t="s">
        <v>3083</v>
      </c>
    </row>
    <row r="619" spans="1:4" x14ac:dyDescent="0.3">
      <c r="A619">
        <v>643</v>
      </c>
      <c r="B619" s="13">
        <v>45869</v>
      </c>
      <c r="C619" t="s">
        <v>1667</v>
      </c>
      <c r="D619" t="s">
        <v>3084</v>
      </c>
    </row>
    <row r="620" spans="1:4" x14ac:dyDescent="0.3">
      <c r="A620">
        <v>644</v>
      </c>
      <c r="B620" s="13">
        <v>45869</v>
      </c>
      <c r="C620" t="s">
        <v>1576</v>
      </c>
      <c r="D620" t="s">
        <v>3085</v>
      </c>
    </row>
    <row r="621" spans="1:4" x14ac:dyDescent="0.3">
      <c r="A621">
        <v>645</v>
      </c>
      <c r="B621" s="13">
        <v>45870</v>
      </c>
      <c r="C621" t="s">
        <v>1469</v>
      </c>
      <c r="D621" t="s">
        <v>3088</v>
      </c>
    </row>
    <row r="622" spans="1:4" x14ac:dyDescent="0.3">
      <c r="A622">
        <v>646</v>
      </c>
      <c r="B622" s="13">
        <v>45870</v>
      </c>
      <c r="C622" t="s">
        <v>3089</v>
      </c>
      <c r="D622" t="s">
        <v>3090</v>
      </c>
    </row>
    <row r="623" spans="1:4" x14ac:dyDescent="0.3">
      <c r="A623">
        <v>647</v>
      </c>
      <c r="B623" s="13">
        <v>45870</v>
      </c>
      <c r="C623" t="s">
        <v>1938</v>
      </c>
      <c r="D623" t="s">
        <v>3091</v>
      </c>
    </row>
    <row r="624" spans="1:4" x14ac:dyDescent="0.3">
      <c r="A624">
        <v>648</v>
      </c>
      <c r="B624" s="13">
        <v>45870</v>
      </c>
      <c r="C624" t="s">
        <v>1395</v>
      </c>
      <c r="D624" t="s">
        <v>3092</v>
      </c>
    </row>
    <row r="625" spans="1:4" x14ac:dyDescent="0.3">
      <c r="A625">
        <v>649</v>
      </c>
      <c r="B625" s="13">
        <v>45868</v>
      </c>
      <c r="C625" t="s">
        <v>1718</v>
      </c>
      <c r="D625" t="s">
        <v>3096</v>
      </c>
    </row>
    <row r="626" spans="1:4" x14ac:dyDescent="0.3">
      <c r="A626">
        <v>650</v>
      </c>
      <c r="B626" s="13">
        <v>45873</v>
      </c>
      <c r="C626" t="s">
        <v>1573</v>
      </c>
      <c r="D626" t="s">
        <v>3097</v>
      </c>
    </row>
    <row r="627" spans="1:4" x14ac:dyDescent="0.3">
      <c r="A627">
        <v>651</v>
      </c>
      <c r="B627" s="13">
        <v>45873</v>
      </c>
      <c r="C627" t="s">
        <v>2869</v>
      </c>
      <c r="D627" t="s">
        <v>3098</v>
      </c>
    </row>
    <row r="628" spans="1:4" x14ac:dyDescent="0.3">
      <c r="A628">
        <v>652</v>
      </c>
      <c r="B628" s="13">
        <v>45873</v>
      </c>
      <c r="C628" t="s">
        <v>1438</v>
      </c>
      <c r="D628" t="s">
        <v>3099</v>
      </c>
    </row>
    <row r="629" spans="1:4" x14ac:dyDescent="0.3">
      <c r="A629">
        <v>653</v>
      </c>
      <c r="B629" s="13">
        <v>45873</v>
      </c>
      <c r="C629" t="s">
        <v>2869</v>
      </c>
      <c r="D629" t="s">
        <v>3100</v>
      </c>
    </row>
    <row r="630" spans="1:4" x14ac:dyDescent="0.3">
      <c r="A630">
        <v>654</v>
      </c>
      <c r="B630" s="13">
        <v>45873</v>
      </c>
      <c r="C630" t="s">
        <v>1395</v>
      </c>
      <c r="D630" t="s">
        <v>3101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3102</v>
      </c>
    </row>
    <row r="632" spans="1:4" x14ac:dyDescent="0.3">
      <c r="A632">
        <v>656</v>
      </c>
      <c r="B632" s="13">
        <v>45873</v>
      </c>
      <c r="C632" t="s">
        <v>2144</v>
      </c>
      <c r="D632" t="s">
        <v>3103</v>
      </c>
    </row>
    <row r="633" spans="1:4" x14ac:dyDescent="0.3">
      <c r="A633">
        <v>657</v>
      </c>
      <c r="B633" s="13">
        <v>45873</v>
      </c>
      <c r="C633" t="s">
        <v>1469</v>
      </c>
      <c r="D633" t="s">
        <v>3104</v>
      </c>
    </row>
    <row r="634" spans="1:4" x14ac:dyDescent="0.3">
      <c r="A634">
        <v>658</v>
      </c>
      <c r="B634" s="13">
        <v>45873</v>
      </c>
      <c r="C634" t="s">
        <v>1469</v>
      </c>
      <c r="D634" t="s">
        <v>3105</v>
      </c>
    </row>
    <row r="635" spans="1:4" x14ac:dyDescent="0.3">
      <c r="A635">
        <v>659</v>
      </c>
      <c r="B635" s="13">
        <v>45873</v>
      </c>
      <c r="C635" t="s">
        <v>1469</v>
      </c>
      <c r="D635" t="s">
        <v>3107</v>
      </c>
    </row>
    <row r="636" spans="1:4" x14ac:dyDescent="0.3">
      <c r="A636">
        <v>660</v>
      </c>
      <c r="B636" s="13">
        <v>45873</v>
      </c>
      <c r="C636" t="s">
        <v>1469</v>
      </c>
      <c r="D636" t="s">
        <v>3108</v>
      </c>
    </row>
    <row r="637" spans="1:4" x14ac:dyDescent="0.3">
      <c r="A637">
        <v>661</v>
      </c>
      <c r="B637" s="13">
        <v>45873</v>
      </c>
      <c r="C637" t="s">
        <v>2144</v>
      </c>
      <c r="D637" t="s">
        <v>3109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3110</v>
      </c>
    </row>
    <row r="639" spans="1:4" x14ac:dyDescent="0.3">
      <c r="A639">
        <v>663</v>
      </c>
      <c r="B639" s="13">
        <v>45875</v>
      </c>
      <c r="C639" t="s">
        <v>1490</v>
      </c>
      <c r="D639" t="s">
        <v>3122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3123</v>
      </c>
    </row>
    <row r="641" spans="1:4" x14ac:dyDescent="0.3">
      <c r="A641">
        <v>665</v>
      </c>
      <c r="B641" s="13">
        <v>45875</v>
      </c>
      <c r="C641" t="s">
        <v>3116</v>
      </c>
      <c r="D641" t="s">
        <v>3128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3130</v>
      </c>
    </row>
    <row r="643" spans="1:4" x14ac:dyDescent="0.3">
      <c r="A643">
        <v>667</v>
      </c>
      <c r="B643" s="13">
        <v>45875</v>
      </c>
      <c r="C643" t="s">
        <v>1805</v>
      </c>
      <c r="D643" t="s">
        <v>3131</v>
      </c>
    </row>
    <row r="644" spans="1:4" x14ac:dyDescent="0.3">
      <c r="A644">
        <v>668</v>
      </c>
      <c r="B644" s="13">
        <v>45875</v>
      </c>
      <c r="C644" t="s">
        <v>3132</v>
      </c>
      <c r="D644" t="s">
        <v>3133</v>
      </c>
    </row>
    <row r="645" spans="1:4" x14ac:dyDescent="0.3">
      <c r="A645">
        <v>669</v>
      </c>
      <c r="B645" s="13">
        <v>45875</v>
      </c>
      <c r="C645" t="s">
        <v>2141</v>
      </c>
      <c r="D645" t="s">
        <v>3134</v>
      </c>
    </row>
    <row r="646" spans="1:4" x14ac:dyDescent="0.3">
      <c r="A646">
        <v>670</v>
      </c>
      <c r="B646" s="13">
        <v>45875</v>
      </c>
      <c r="C646" t="s">
        <v>1573</v>
      </c>
      <c r="D646" t="s">
        <v>3136</v>
      </c>
    </row>
    <row r="647" spans="1:4" x14ac:dyDescent="0.3">
      <c r="A647">
        <v>671</v>
      </c>
      <c r="B647" s="13">
        <v>45875</v>
      </c>
      <c r="C647" t="s">
        <v>1743</v>
      </c>
      <c r="D647" t="s">
        <v>3137</v>
      </c>
    </row>
    <row r="648" spans="1:4" x14ac:dyDescent="0.3">
      <c r="A648">
        <v>672</v>
      </c>
      <c r="B648" s="13">
        <v>45876</v>
      </c>
      <c r="C648" t="s">
        <v>1440</v>
      </c>
      <c r="D648" t="s">
        <v>3141</v>
      </c>
    </row>
    <row r="649" spans="1:4" x14ac:dyDescent="0.3">
      <c r="A649">
        <v>673</v>
      </c>
      <c r="B649" s="13">
        <v>45876</v>
      </c>
      <c r="C649" t="s">
        <v>2779</v>
      </c>
      <c r="D649" t="s">
        <v>3142</v>
      </c>
    </row>
    <row r="650" spans="1:4" x14ac:dyDescent="0.3">
      <c r="A650">
        <v>674</v>
      </c>
      <c r="B650" s="13">
        <v>45876</v>
      </c>
      <c r="C650" t="s">
        <v>2406</v>
      </c>
      <c r="D650" t="s">
        <v>3143</v>
      </c>
    </row>
    <row r="651" spans="1:4" x14ac:dyDescent="0.3">
      <c r="A651">
        <v>675</v>
      </c>
      <c r="B651" s="13">
        <v>45877</v>
      </c>
      <c r="C651" t="s">
        <v>3145</v>
      </c>
      <c r="D651" t="s">
        <v>3146</v>
      </c>
    </row>
    <row r="652" spans="1:4" x14ac:dyDescent="0.3">
      <c r="A652">
        <v>676</v>
      </c>
      <c r="B652" s="13">
        <v>45877</v>
      </c>
      <c r="C652" t="s">
        <v>3147</v>
      </c>
      <c r="D652" t="s">
        <v>3151</v>
      </c>
    </row>
    <row r="653" spans="1:4" x14ac:dyDescent="0.3">
      <c r="A653">
        <v>677</v>
      </c>
      <c r="B653" s="13">
        <v>45877</v>
      </c>
      <c r="C653" t="s">
        <v>3145</v>
      </c>
      <c r="D653" t="s">
        <v>3152</v>
      </c>
    </row>
    <row r="654" spans="1:4" x14ac:dyDescent="0.3">
      <c r="A654">
        <v>678</v>
      </c>
      <c r="B654" s="13">
        <v>45877</v>
      </c>
      <c r="C654" t="s">
        <v>3147</v>
      </c>
      <c r="D654" t="s">
        <v>3153</v>
      </c>
    </row>
    <row r="655" spans="1:4" x14ac:dyDescent="0.3">
      <c r="A655">
        <v>679</v>
      </c>
      <c r="B655" s="13">
        <v>45877</v>
      </c>
      <c r="C655" t="s">
        <v>3145</v>
      </c>
      <c r="D655" t="s">
        <v>3154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3156</v>
      </c>
    </row>
    <row r="657" spans="1:4" x14ac:dyDescent="0.3">
      <c r="A657">
        <v>681</v>
      </c>
      <c r="B657" s="13">
        <v>45878</v>
      </c>
      <c r="C657" t="s">
        <v>3157</v>
      </c>
      <c r="D657" t="s">
        <v>3158</v>
      </c>
    </row>
    <row r="658" spans="1:4" x14ac:dyDescent="0.3">
      <c r="A658">
        <v>682</v>
      </c>
      <c r="B658" s="13">
        <v>45880</v>
      </c>
      <c r="C658" t="s">
        <v>2315</v>
      </c>
      <c r="D658" t="s">
        <v>3159</v>
      </c>
    </row>
    <row r="659" spans="1:4" x14ac:dyDescent="0.3">
      <c r="A659">
        <v>683</v>
      </c>
      <c r="B659" s="13">
        <v>45880</v>
      </c>
      <c r="C659" t="s">
        <v>1743</v>
      </c>
      <c r="D659" t="s">
        <v>3160</v>
      </c>
    </row>
    <row r="660" spans="1:4" x14ac:dyDescent="0.3">
      <c r="A660">
        <v>684</v>
      </c>
      <c r="B660" s="13">
        <v>45880</v>
      </c>
      <c r="C660" t="s">
        <v>1576</v>
      </c>
      <c r="D660" t="s">
        <v>3161</v>
      </c>
    </row>
    <row r="661" spans="1:4" x14ac:dyDescent="0.3">
      <c r="A661">
        <v>685</v>
      </c>
      <c r="B661" t="s">
        <v>3163</v>
      </c>
      <c r="C661" t="s">
        <v>1490</v>
      </c>
      <c r="D661" t="s">
        <v>3164</v>
      </c>
    </row>
    <row r="662" spans="1:4" x14ac:dyDescent="0.3">
      <c r="A662">
        <v>686</v>
      </c>
      <c r="B662" s="13">
        <v>45880</v>
      </c>
      <c r="C662" t="s">
        <v>1395</v>
      </c>
      <c r="D662" t="s">
        <v>3165</v>
      </c>
    </row>
    <row r="663" spans="1:4" x14ac:dyDescent="0.3">
      <c r="A663">
        <v>687</v>
      </c>
      <c r="B663" s="13">
        <v>45880</v>
      </c>
      <c r="C663" t="s">
        <v>1890</v>
      </c>
      <c r="D663" t="s">
        <v>3166</v>
      </c>
    </row>
    <row r="664" spans="1:4" x14ac:dyDescent="0.3">
      <c r="A664">
        <v>688</v>
      </c>
      <c r="B664" s="13">
        <v>45880</v>
      </c>
      <c r="C664" t="s">
        <v>2912</v>
      </c>
      <c r="D664" t="s">
        <v>3167</v>
      </c>
    </row>
    <row r="665" spans="1:4" x14ac:dyDescent="0.3">
      <c r="A665">
        <v>689</v>
      </c>
      <c r="B665" s="13">
        <v>45881</v>
      </c>
      <c r="C665" t="s">
        <v>1463</v>
      </c>
      <c r="D665" t="s">
        <v>3168</v>
      </c>
    </row>
    <row r="666" spans="1:4" x14ac:dyDescent="0.3">
      <c r="A666">
        <v>690</v>
      </c>
      <c r="B666" s="13">
        <v>45881</v>
      </c>
      <c r="C666" t="s">
        <v>1469</v>
      </c>
      <c r="D666" t="s">
        <v>3169</v>
      </c>
    </row>
    <row r="667" spans="1:4" x14ac:dyDescent="0.3">
      <c r="A667">
        <v>691</v>
      </c>
      <c r="B667" s="13">
        <v>45881</v>
      </c>
      <c r="C667" t="s">
        <v>2315</v>
      </c>
      <c r="D667" t="s">
        <v>3170</v>
      </c>
    </row>
    <row r="668" spans="1:4" x14ac:dyDescent="0.3">
      <c r="A668">
        <v>692</v>
      </c>
      <c r="B668" s="13">
        <v>45881</v>
      </c>
      <c r="C668" t="s">
        <v>2994</v>
      </c>
      <c r="D668" t="s">
        <v>3172</v>
      </c>
    </row>
    <row r="669" spans="1:4" x14ac:dyDescent="0.3">
      <c r="A669">
        <v>693</v>
      </c>
      <c r="B669" s="13">
        <v>45882</v>
      </c>
      <c r="C669" t="s">
        <v>1801</v>
      </c>
      <c r="D669" t="s">
        <v>3174</v>
      </c>
    </row>
    <row r="670" spans="1:4" x14ac:dyDescent="0.3">
      <c r="A670">
        <v>694</v>
      </c>
      <c r="B670" s="13">
        <v>45882</v>
      </c>
      <c r="C670" t="s">
        <v>1576</v>
      </c>
      <c r="D670" t="s">
        <v>3175</v>
      </c>
    </row>
    <row r="671" spans="1:4" x14ac:dyDescent="0.3">
      <c r="A671">
        <v>695</v>
      </c>
      <c r="B671" s="13">
        <v>45882</v>
      </c>
      <c r="C671" t="s">
        <v>1395</v>
      </c>
      <c r="D671" t="s">
        <v>3176</v>
      </c>
    </row>
    <row r="672" spans="1:4" x14ac:dyDescent="0.3">
      <c r="A672">
        <v>696</v>
      </c>
      <c r="B672" s="13">
        <v>45882</v>
      </c>
      <c r="C672" t="s">
        <v>1573</v>
      </c>
      <c r="D672" t="s">
        <v>3177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3178</v>
      </c>
    </row>
    <row r="674" spans="1:4" x14ac:dyDescent="0.3">
      <c r="A674">
        <v>698</v>
      </c>
      <c r="B674" s="13">
        <v>45882</v>
      </c>
      <c r="C674" t="s">
        <v>3182</v>
      </c>
      <c r="D674" t="s">
        <v>3186</v>
      </c>
    </row>
    <row r="675" spans="1:4" x14ac:dyDescent="0.3">
      <c r="A675">
        <v>699</v>
      </c>
      <c r="B675" s="13">
        <v>45882</v>
      </c>
      <c r="C675" t="s">
        <v>3179</v>
      </c>
      <c r="D675" t="s">
        <v>3188</v>
      </c>
    </row>
    <row r="676" spans="1:4" x14ac:dyDescent="0.3">
      <c r="A676">
        <v>700</v>
      </c>
      <c r="B676" s="13">
        <v>45883</v>
      </c>
      <c r="C676" t="s">
        <v>1463</v>
      </c>
      <c r="D676" t="s">
        <v>3189</v>
      </c>
    </row>
    <row r="677" spans="1:4" x14ac:dyDescent="0.3">
      <c r="A677">
        <v>701</v>
      </c>
      <c r="B677" s="13">
        <v>45883</v>
      </c>
      <c r="C677" t="s">
        <v>1475</v>
      </c>
      <c r="D677" t="s">
        <v>3191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3193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3194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3196</v>
      </c>
    </row>
    <row r="681" spans="1:4" x14ac:dyDescent="0.3">
      <c r="A681">
        <v>705</v>
      </c>
      <c r="B681" s="13">
        <v>45883</v>
      </c>
      <c r="C681" t="s">
        <v>3197</v>
      </c>
      <c r="D681" t="s">
        <v>3199</v>
      </c>
    </row>
    <row r="682" spans="1:4" x14ac:dyDescent="0.3">
      <c r="A682">
        <v>706</v>
      </c>
      <c r="B682" s="13">
        <v>45883</v>
      </c>
      <c r="C682" t="s">
        <v>2593</v>
      </c>
      <c r="D682" t="s">
        <v>3200</v>
      </c>
    </row>
    <row r="683" spans="1:4" x14ac:dyDescent="0.3">
      <c r="A683">
        <v>707</v>
      </c>
      <c r="B683" s="13">
        <v>45883</v>
      </c>
      <c r="C683" t="s">
        <v>2406</v>
      </c>
      <c r="D683" t="s">
        <v>3201</v>
      </c>
    </row>
    <row r="684" spans="1:4" x14ac:dyDescent="0.3">
      <c r="A684">
        <v>708</v>
      </c>
      <c r="B684" s="13">
        <v>45884</v>
      </c>
      <c r="C684" t="s">
        <v>1445</v>
      </c>
      <c r="D684" t="s">
        <v>3203</v>
      </c>
    </row>
    <row r="685" spans="1:4" x14ac:dyDescent="0.3">
      <c r="A685">
        <v>709</v>
      </c>
      <c r="B685" s="13">
        <v>45884</v>
      </c>
      <c r="C685" t="s">
        <v>1395</v>
      </c>
      <c r="D685" t="s">
        <v>3204</v>
      </c>
    </row>
    <row r="686" spans="1:4" x14ac:dyDescent="0.3">
      <c r="A686">
        <v>710</v>
      </c>
      <c r="B686" s="13">
        <v>45884</v>
      </c>
      <c r="C686" t="s">
        <v>3205</v>
      </c>
      <c r="D686" t="s">
        <v>3208</v>
      </c>
    </row>
    <row r="687" spans="1:4" x14ac:dyDescent="0.3">
      <c r="A687">
        <v>711</v>
      </c>
      <c r="B687" s="13">
        <v>45885</v>
      </c>
      <c r="C687" t="s">
        <v>1718</v>
      </c>
      <c r="D687" t="s">
        <v>3209</v>
      </c>
    </row>
    <row r="688" spans="1:4" x14ac:dyDescent="0.3">
      <c r="A688">
        <v>712</v>
      </c>
      <c r="B688" s="13">
        <v>45885</v>
      </c>
      <c r="C688" t="s">
        <v>1718</v>
      </c>
      <c r="D688" t="s">
        <v>3210</v>
      </c>
    </row>
    <row r="689" spans="1:4" x14ac:dyDescent="0.3">
      <c r="A689">
        <v>713</v>
      </c>
      <c r="B689" s="13">
        <v>45887</v>
      </c>
      <c r="C689" t="s">
        <v>1395</v>
      </c>
      <c r="D689" t="s">
        <v>3214</v>
      </c>
    </row>
    <row r="690" spans="1:4" x14ac:dyDescent="0.3">
      <c r="A690">
        <v>714</v>
      </c>
      <c r="B690" s="13">
        <v>45887</v>
      </c>
      <c r="C690" t="s">
        <v>1475</v>
      </c>
      <c r="D690" t="s">
        <v>3215</v>
      </c>
    </row>
    <row r="691" spans="1:4" x14ac:dyDescent="0.3">
      <c r="A691">
        <v>715</v>
      </c>
      <c r="B691" s="13">
        <v>45887</v>
      </c>
      <c r="C691" t="s">
        <v>1440</v>
      </c>
      <c r="D691" t="s">
        <v>3216</v>
      </c>
    </row>
    <row r="692" spans="1:4" x14ac:dyDescent="0.3">
      <c r="A692">
        <v>716</v>
      </c>
      <c r="B692" s="13">
        <v>45887</v>
      </c>
      <c r="C692" t="s">
        <v>1463</v>
      </c>
      <c r="D692" t="s">
        <v>3219</v>
      </c>
    </row>
    <row r="693" spans="1:4" x14ac:dyDescent="0.3">
      <c r="A693">
        <v>717</v>
      </c>
      <c r="B693" s="13">
        <v>45887</v>
      </c>
      <c r="C693" t="s">
        <v>1445</v>
      </c>
      <c r="D693" t="s">
        <v>3220</v>
      </c>
    </row>
    <row r="694" spans="1:4" x14ac:dyDescent="0.3">
      <c r="A694">
        <v>718</v>
      </c>
      <c r="B694" s="13">
        <v>45887</v>
      </c>
      <c r="C694" t="s">
        <v>1973</v>
      </c>
      <c r="D694" t="s">
        <v>3221</v>
      </c>
    </row>
    <row r="695" spans="1:4" x14ac:dyDescent="0.3">
      <c r="A695">
        <v>719</v>
      </c>
      <c r="B695" s="13">
        <v>45887</v>
      </c>
      <c r="C695" t="s">
        <v>2606</v>
      </c>
      <c r="D695" t="s">
        <v>3223</v>
      </c>
    </row>
    <row r="696" spans="1:4" x14ac:dyDescent="0.3">
      <c r="A696">
        <v>720</v>
      </c>
      <c r="B696" s="13">
        <v>45887</v>
      </c>
      <c r="C696" t="s">
        <v>1594</v>
      </c>
      <c r="D696" t="s">
        <v>3225</v>
      </c>
    </row>
    <row r="697" spans="1:4" x14ac:dyDescent="0.3">
      <c r="A697">
        <v>721</v>
      </c>
      <c r="B697" s="13">
        <v>45887</v>
      </c>
      <c r="C697" t="s">
        <v>1450</v>
      </c>
      <c r="D697" t="s">
        <v>3227</v>
      </c>
    </row>
    <row r="698" spans="1:4" x14ac:dyDescent="0.3">
      <c r="A698">
        <v>722</v>
      </c>
      <c r="B698" s="13">
        <v>45888</v>
      </c>
      <c r="C698" t="s">
        <v>1573</v>
      </c>
      <c r="D698" t="s">
        <v>3229</v>
      </c>
    </row>
    <row r="699" spans="1:4" x14ac:dyDescent="0.3">
      <c r="A699">
        <v>723</v>
      </c>
      <c r="B699" s="13">
        <v>45888</v>
      </c>
      <c r="C699" t="s">
        <v>1395</v>
      </c>
      <c r="D699" t="s">
        <v>3230</v>
      </c>
    </row>
    <row r="700" spans="1:4" x14ac:dyDescent="0.3">
      <c r="A700">
        <v>724</v>
      </c>
      <c r="B700" s="13">
        <v>45888</v>
      </c>
      <c r="C700" t="s">
        <v>1469</v>
      </c>
      <c r="D700" t="s">
        <v>3231</v>
      </c>
    </row>
    <row r="701" spans="1:4" x14ac:dyDescent="0.3">
      <c r="A701">
        <v>725</v>
      </c>
      <c r="B701" s="13">
        <v>45888</v>
      </c>
      <c r="C701" t="s">
        <v>1594</v>
      </c>
      <c r="D701" t="s">
        <v>3232</v>
      </c>
    </row>
    <row r="702" spans="1:4" x14ac:dyDescent="0.3">
      <c r="A702">
        <v>726</v>
      </c>
      <c r="B702" s="13">
        <v>45888</v>
      </c>
      <c r="C702" t="s">
        <v>1395</v>
      </c>
      <c r="D702" t="s">
        <v>3234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3236</v>
      </c>
    </row>
    <row r="704" spans="1:4" x14ac:dyDescent="0.3">
      <c r="A704">
        <v>728</v>
      </c>
      <c r="B704" s="13">
        <v>45889</v>
      </c>
      <c r="C704" t="s">
        <v>1537</v>
      </c>
      <c r="D704" t="s">
        <v>3237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3238</v>
      </c>
    </row>
    <row r="706" spans="1:4" x14ac:dyDescent="0.3">
      <c r="A706">
        <v>730</v>
      </c>
      <c r="B706" s="13">
        <v>45889</v>
      </c>
      <c r="C706" t="s">
        <v>2554</v>
      </c>
      <c r="D706" t="s">
        <v>3240</v>
      </c>
    </row>
    <row r="707" spans="1:4" x14ac:dyDescent="0.3">
      <c r="A707">
        <v>731</v>
      </c>
      <c r="B707" s="13">
        <v>45889</v>
      </c>
      <c r="C707" t="s">
        <v>2257</v>
      </c>
      <c r="D707" t="s">
        <v>3241</v>
      </c>
    </row>
    <row r="708" spans="1:4" x14ac:dyDescent="0.3">
      <c r="A708">
        <v>732</v>
      </c>
      <c r="B708" s="13">
        <v>45889</v>
      </c>
      <c r="C708" t="s">
        <v>2363</v>
      </c>
      <c r="D708" t="s">
        <v>3243</v>
      </c>
    </row>
    <row r="709" spans="1:4" x14ac:dyDescent="0.3">
      <c r="A709">
        <v>733</v>
      </c>
      <c r="B709" s="13">
        <v>45890</v>
      </c>
      <c r="C709" t="s">
        <v>1374</v>
      </c>
      <c r="D709" t="s">
        <v>3244</v>
      </c>
    </row>
    <row r="710" spans="1:4" x14ac:dyDescent="0.3">
      <c r="A710">
        <v>734</v>
      </c>
      <c r="B710" s="13">
        <v>45890</v>
      </c>
      <c r="C710" t="s">
        <v>2912</v>
      </c>
      <c r="D710" t="s">
        <v>3245</v>
      </c>
    </row>
    <row r="711" spans="1:4" x14ac:dyDescent="0.3">
      <c r="A711">
        <v>735</v>
      </c>
      <c r="B711" s="13">
        <v>45890</v>
      </c>
      <c r="C711" t="s">
        <v>1576</v>
      </c>
      <c r="D711" t="s">
        <v>3246</v>
      </c>
    </row>
    <row r="712" spans="1:4" x14ac:dyDescent="0.3">
      <c r="A712">
        <v>736</v>
      </c>
      <c r="B712" s="13">
        <v>45890</v>
      </c>
      <c r="C712" t="s">
        <v>2554</v>
      </c>
      <c r="D712" t="s">
        <v>3247</v>
      </c>
    </row>
    <row r="713" spans="1:4" x14ac:dyDescent="0.3">
      <c r="A713">
        <v>737</v>
      </c>
      <c r="B713" s="13">
        <v>45890</v>
      </c>
      <c r="C713" t="s">
        <v>1718</v>
      </c>
      <c r="D713" t="s">
        <v>3249</v>
      </c>
    </row>
    <row r="714" spans="1:4" x14ac:dyDescent="0.3">
      <c r="A714">
        <v>738</v>
      </c>
      <c r="B714" s="13">
        <v>45890</v>
      </c>
      <c r="C714" t="s">
        <v>1395</v>
      </c>
      <c r="D714" t="s">
        <v>3252</v>
      </c>
    </row>
    <row r="715" spans="1:4" x14ac:dyDescent="0.3">
      <c r="A715">
        <v>739</v>
      </c>
      <c r="B715" s="13">
        <v>45890</v>
      </c>
      <c r="C715" t="s">
        <v>3116</v>
      </c>
      <c r="D715" t="s">
        <v>3253</v>
      </c>
    </row>
    <row r="716" spans="1:4" x14ac:dyDescent="0.3">
      <c r="A716">
        <v>740</v>
      </c>
      <c r="B716" s="13">
        <v>45891</v>
      </c>
      <c r="C716" t="s">
        <v>2854</v>
      </c>
      <c r="D716" t="s">
        <v>3255</v>
      </c>
    </row>
    <row r="717" spans="1:4" x14ac:dyDescent="0.3">
      <c r="A717">
        <v>741</v>
      </c>
      <c r="B717" s="13">
        <v>45891</v>
      </c>
      <c r="C717" t="s">
        <v>1808</v>
      </c>
      <c r="D717" t="s">
        <v>3257</v>
      </c>
    </row>
    <row r="718" spans="1:4" x14ac:dyDescent="0.3">
      <c r="A718">
        <v>742</v>
      </c>
      <c r="B718" s="13">
        <v>45891</v>
      </c>
      <c r="C718" t="s">
        <v>3258</v>
      </c>
      <c r="D718" t="s">
        <v>3262</v>
      </c>
    </row>
    <row r="719" spans="1:4" x14ac:dyDescent="0.3">
      <c r="A719">
        <v>743</v>
      </c>
      <c r="B719" s="13">
        <v>45891</v>
      </c>
      <c r="C719" t="s">
        <v>2606</v>
      </c>
      <c r="D719" t="s">
        <v>3263</v>
      </c>
    </row>
    <row r="720" spans="1:4" x14ac:dyDescent="0.3">
      <c r="A720">
        <v>744</v>
      </c>
      <c r="B720" s="13">
        <v>45891</v>
      </c>
      <c r="C720" t="s">
        <v>3264</v>
      </c>
      <c r="D720" t="s">
        <v>3267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3268</v>
      </c>
    </row>
    <row r="722" spans="1:4" x14ac:dyDescent="0.3">
      <c r="A722">
        <v>746</v>
      </c>
      <c r="B722" s="13">
        <v>45894</v>
      </c>
      <c r="C722" t="s">
        <v>1395</v>
      </c>
      <c r="D722" t="s">
        <v>3273</v>
      </c>
    </row>
    <row r="723" spans="1:4" x14ac:dyDescent="0.3">
      <c r="A723">
        <v>747</v>
      </c>
      <c r="B723" s="13">
        <v>45894</v>
      </c>
      <c r="C723" t="s">
        <v>1395</v>
      </c>
      <c r="D723" t="s">
        <v>3274</v>
      </c>
    </row>
    <row r="724" spans="1:4" x14ac:dyDescent="0.3">
      <c r="A724">
        <v>748</v>
      </c>
      <c r="B724" s="13">
        <v>45894</v>
      </c>
      <c r="C724" t="s">
        <v>1395</v>
      </c>
      <c r="D724" t="s">
        <v>3275</v>
      </c>
    </row>
    <row r="725" spans="1:4" x14ac:dyDescent="0.3">
      <c r="A725">
        <v>749</v>
      </c>
      <c r="B725" s="13">
        <v>45894</v>
      </c>
      <c r="C725" t="s">
        <v>1801</v>
      </c>
      <c r="D725" t="s">
        <v>3276</v>
      </c>
    </row>
    <row r="726" spans="1:4" x14ac:dyDescent="0.3">
      <c r="A726">
        <v>750</v>
      </c>
      <c r="B726" s="13">
        <v>45894</v>
      </c>
      <c r="C726" t="s">
        <v>3116</v>
      </c>
      <c r="D726" t="s">
        <v>3280</v>
      </c>
    </row>
    <row r="727" spans="1:4" x14ac:dyDescent="0.3">
      <c r="A727">
        <v>751</v>
      </c>
      <c r="B727" s="13">
        <v>45894</v>
      </c>
      <c r="C727" t="s">
        <v>2912</v>
      </c>
      <c r="D727" t="s">
        <v>3281</v>
      </c>
    </row>
    <row r="728" spans="1:4" x14ac:dyDescent="0.3">
      <c r="A728">
        <v>752</v>
      </c>
      <c r="B728" s="13">
        <v>45894</v>
      </c>
      <c r="C728" t="s">
        <v>1573</v>
      </c>
      <c r="D728" t="s">
        <v>3282</v>
      </c>
    </row>
    <row r="729" spans="1:4" x14ac:dyDescent="0.3">
      <c r="A729">
        <v>753</v>
      </c>
      <c r="B729" s="13">
        <v>45894</v>
      </c>
      <c r="C729" t="s">
        <v>2288</v>
      </c>
      <c r="D729" t="s">
        <v>3283</v>
      </c>
    </row>
    <row r="730" spans="1:4" x14ac:dyDescent="0.3">
      <c r="A730">
        <v>754</v>
      </c>
      <c r="B730" s="13">
        <v>45894</v>
      </c>
      <c r="C730" t="s">
        <v>2554</v>
      </c>
      <c r="D730" t="s">
        <v>3284</v>
      </c>
    </row>
    <row r="731" spans="1:4" x14ac:dyDescent="0.3">
      <c r="A731">
        <v>755</v>
      </c>
      <c r="B731" s="13">
        <v>45894</v>
      </c>
      <c r="C731" t="s">
        <v>3285</v>
      </c>
      <c r="D731" t="s">
        <v>3289</v>
      </c>
    </row>
    <row r="732" spans="1:4" x14ac:dyDescent="0.3">
      <c r="A732">
        <v>756</v>
      </c>
      <c r="B732" s="13">
        <v>45894</v>
      </c>
      <c r="C732" t="s">
        <v>3285</v>
      </c>
      <c r="D732" t="s">
        <v>3290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3291</v>
      </c>
    </row>
    <row r="734" spans="1:4" x14ac:dyDescent="0.3">
      <c r="A734">
        <v>758</v>
      </c>
      <c r="B734" s="13">
        <v>45894</v>
      </c>
      <c r="C734" t="s">
        <v>2406</v>
      </c>
      <c r="D734" t="s">
        <v>3293</v>
      </c>
    </row>
    <row r="735" spans="1:4" x14ac:dyDescent="0.3">
      <c r="A735">
        <v>759</v>
      </c>
      <c r="B735" s="13">
        <v>45894</v>
      </c>
      <c r="C735" t="s">
        <v>2302</v>
      </c>
      <c r="D735" t="s">
        <v>3294</v>
      </c>
    </row>
    <row r="736" spans="1:4" x14ac:dyDescent="0.3">
      <c r="A736">
        <v>760</v>
      </c>
      <c r="B736" s="13">
        <v>45894</v>
      </c>
      <c r="C736" t="s">
        <v>1573</v>
      </c>
      <c r="D736" t="s">
        <v>3295</v>
      </c>
    </row>
    <row r="737" spans="1:4" x14ac:dyDescent="0.3">
      <c r="A737">
        <v>761</v>
      </c>
      <c r="B737" s="13">
        <v>45894</v>
      </c>
      <c r="C737" t="s">
        <v>1573</v>
      </c>
      <c r="D737" t="s">
        <v>3296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3297</v>
      </c>
    </row>
    <row r="739" spans="1:4" x14ac:dyDescent="0.3">
      <c r="A739">
        <v>763</v>
      </c>
      <c r="B739" s="13">
        <v>45895</v>
      </c>
      <c r="C739" t="s">
        <v>1537</v>
      </c>
      <c r="D739" t="s">
        <v>3301</v>
      </c>
    </row>
    <row r="740" spans="1:4" x14ac:dyDescent="0.3">
      <c r="A740">
        <v>764</v>
      </c>
      <c r="B740" s="13">
        <v>45895</v>
      </c>
      <c r="C740" t="s">
        <v>1465</v>
      </c>
      <c r="D740" t="s">
        <v>3302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3303</v>
      </c>
    </row>
    <row r="742" spans="1:4" x14ac:dyDescent="0.3">
      <c r="A742">
        <v>766</v>
      </c>
      <c r="B742" s="13">
        <v>45895</v>
      </c>
      <c r="C742" t="s">
        <v>1576</v>
      </c>
      <c r="D742" t="s">
        <v>3305</v>
      </c>
    </row>
    <row r="743" spans="1:4" x14ac:dyDescent="0.3">
      <c r="A743">
        <v>767</v>
      </c>
      <c r="B743" s="13">
        <v>45895</v>
      </c>
      <c r="C743" t="s">
        <v>1440</v>
      </c>
      <c r="D743" t="s">
        <v>3306</v>
      </c>
    </row>
    <row r="744" spans="1:4" x14ac:dyDescent="0.3">
      <c r="A744">
        <v>768</v>
      </c>
      <c r="B744" s="13">
        <v>45895</v>
      </c>
      <c r="C744" t="s">
        <v>2854</v>
      </c>
      <c r="D744" t="s">
        <v>3309</v>
      </c>
    </row>
    <row r="745" spans="1:4" x14ac:dyDescent="0.3">
      <c r="A745">
        <v>769</v>
      </c>
      <c r="B745" s="13">
        <v>45895</v>
      </c>
      <c r="C745" t="s">
        <v>2854</v>
      </c>
      <c r="D745" t="s">
        <v>3310</v>
      </c>
    </row>
    <row r="746" spans="1:4" x14ac:dyDescent="0.3">
      <c r="A746">
        <v>770</v>
      </c>
      <c r="B746" s="13">
        <v>45896</v>
      </c>
      <c r="C746" t="s">
        <v>1469</v>
      </c>
      <c r="D746" t="s">
        <v>3314</v>
      </c>
    </row>
    <row r="747" spans="1:4" x14ac:dyDescent="0.3">
      <c r="A747">
        <v>771</v>
      </c>
      <c r="B747" s="13">
        <v>45896</v>
      </c>
      <c r="C747" t="s">
        <v>3111</v>
      </c>
      <c r="D747" t="s">
        <v>3316</v>
      </c>
    </row>
    <row r="748" spans="1:4" x14ac:dyDescent="0.3">
      <c r="A748">
        <v>772</v>
      </c>
      <c r="B748" s="13">
        <v>45896</v>
      </c>
      <c r="C748" t="s">
        <v>1743</v>
      </c>
      <c r="D748" t="s">
        <v>3317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3318</v>
      </c>
    </row>
    <row r="750" spans="1:4" x14ac:dyDescent="0.3">
      <c r="A750">
        <v>774</v>
      </c>
      <c r="B750" s="13">
        <v>45896</v>
      </c>
      <c r="C750" t="s">
        <v>2463</v>
      </c>
      <c r="D750" t="s">
        <v>3319</v>
      </c>
    </row>
    <row r="751" spans="1:4" x14ac:dyDescent="0.3">
      <c r="A751">
        <v>775</v>
      </c>
      <c r="B751" s="13">
        <v>45897</v>
      </c>
      <c r="C751" t="s">
        <v>1576</v>
      </c>
      <c r="D751" t="s">
        <v>3327</v>
      </c>
    </row>
    <row r="752" spans="1:4" x14ac:dyDescent="0.3">
      <c r="A752">
        <v>776</v>
      </c>
      <c r="B752" s="13">
        <v>45897</v>
      </c>
      <c r="C752" t="s">
        <v>1786</v>
      </c>
      <c r="D752" t="s">
        <v>3328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3329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3330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3331</v>
      </c>
    </row>
    <row r="756" spans="1:4" x14ac:dyDescent="0.3">
      <c r="A756">
        <v>780</v>
      </c>
      <c r="B756" s="13">
        <v>45897</v>
      </c>
      <c r="C756" t="s">
        <v>1573</v>
      </c>
      <c r="D756" t="s">
        <v>3332</v>
      </c>
    </row>
    <row r="757" spans="1:4" x14ac:dyDescent="0.3">
      <c r="A757">
        <v>781</v>
      </c>
      <c r="B757" s="13">
        <v>45897</v>
      </c>
      <c r="C757" t="s">
        <v>1718</v>
      </c>
      <c r="D757" t="s">
        <v>3333</v>
      </c>
    </row>
    <row r="758" spans="1:4" x14ac:dyDescent="0.3">
      <c r="A758">
        <v>782</v>
      </c>
      <c r="B758" s="13">
        <v>45898</v>
      </c>
      <c r="C758" t="s">
        <v>2994</v>
      </c>
      <c r="D758" t="s">
        <v>3337</v>
      </c>
    </row>
    <row r="759" spans="1:4" x14ac:dyDescent="0.3">
      <c r="A759">
        <v>783</v>
      </c>
      <c r="B759" s="13">
        <v>45898</v>
      </c>
      <c r="C759" t="s">
        <v>1550</v>
      </c>
      <c r="D759" t="s">
        <v>3338</v>
      </c>
    </row>
    <row r="760" spans="1:4" x14ac:dyDescent="0.3">
      <c r="A760">
        <v>784</v>
      </c>
      <c r="B760" s="13">
        <v>45898</v>
      </c>
      <c r="C760" t="s">
        <v>1718</v>
      </c>
      <c r="D760" t="s">
        <v>3339</v>
      </c>
    </row>
    <row r="761" spans="1:4" x14ac:dyDescent="0.3">
      <c r="A761">
        <v>785</v>
      </c>
      <c r="B761" s="13">
        <v>45898</v>
      </c>
      <c r="C761" t="s">
        <v>3197</v>
      </c>
      <c r="D761" t="s">
        <v>3340</v>
      </c>
    </row>
    <row r="762" spans="1:4" x14ac:dyDescent="0.3">
      <c r="A762">
        <v>786</v>
      </c>
      <c r="B762" s="13">
        <v>45899</v>
      </c>
      <c r="C762" t="s">
        <v>2865</v>
      </c>
      <c r="D762" t="s">
        <v>3341</v>
      </c>
    </row>
    <row r="763" spans="1:4" x14ac:dyDescent="0.3">
      <c r="A763">
        <v>787</v>
      </c>
      <c r="B763" s="13">
        <v>45899</v>
      </c>
      <c r="C763" t="s">
        <v>1743</v>
      </c>
      <c r="D763" t="s">
        <v>3342</v>
      </c>
    </row>
    <row r="764" spans="1:4" x14ac:dyDescent="0.3">
      <c r="A764">
        <v>788</v>
      </c>
      <c r="B764" s="13">
        <v>45901</v>
      </c>
      <c r="C764" t="s">
        <v>1395</v>
      </c>
      <c r="D764" t="s">
        <v>3349</v>
      </c>
    </row>
    <row r="765" spans="1:4" x14ac:dyDescent="0.3">
      <c r="A765">
        <v>789</v>
      </c>
      <c r="B765" s="13">
        <v>45901</v>
      </c>
      <c r="C765" t="s">
        <v>1395</v>
      </c>
      <c r="D765" t="s">
        <v>3350</v>
      </c>
    </row>
    <row r="766" spans="1:4" x14ac:dyDescent="0.3">
      <c r="A766">
        <v>790</v>
      </c>
      <c r="B766" s="13">
        <v>45901</v>
      </c>
      <c r="C766" t="s">
        <v>1550</v>
      </c>
      <c r="D766" t="s">
        <v>3351</v>
      </c>
    </row>
    <row r="767" spans="1:4" x14ac:dyDescent="0.3">
      <c r="A767">
        <v>791</v>
      </c>
      <c r="B767" s="13">
        <v>45901</v>
      </c>
      <c r="C767" t="s">
        <v>1469</v>
      </c>
      <c r="D767" t="s">
        <v>3352</v>
      </c>
    </row>
    <row r="768" spans="1:4" x14ac:dyDescent="0.3">
      <c r="A768">
        <v>792</v>
      </c>
      <c r="B768" s="13">
        <v>45901</v>
      </c>
      <c r="C768" t="s">
        <v>1808</v>
      </c>
      <c r="D768" t="s">
        <v>3353</v>
      </c>
    </row>
    <row r="769" spans="1:4" x14ac:dyDescent="0.3">
      <c r="A769">
        <v>793</v>
      </c>
      <c r="B769" s="13">
        <v>45901</v>
      </c>
      <c r="C769" t="s">
        <v>1440</v>
      </c>
      <c r="D769" t="s">
        <v>3354</v>
      </c>
    </row>
    <row r="770" spans="1:4" x14ac:dyDescent="0.3">
      <c r="A770">
        <v>794</v>
      </c>
      <c r="B770" s="13">
        <v>45901</v>
      </c>
      <c r="C770" t="s">
        <v>2758</v>
      </c>
      <c r="D770" t="s">
        <v>3355</v>
      </c>
    </row>
    <row r="771" spans="1:4" x14ac:dyDescent="0.3">
      <c r="A771">
        <v>795</v>
      </c>
      <c r="B771" s="13">
        <v>45901</v>
      </c>
      <c r="C771" t="s">
        <v>3343</v>
      </c>
      <c r="D771" t="s">
        <v>3356</v>
      </c>
    </row>
    <row r="772" spans="1:4" x14ac:dyDescent="0.3">
      <c r="A772">
        <v>796</v>
      </c>
      <c r="B772" s="13">
        <v>45901</v>
      </c>
      <c r="C772" t="s">
        <v>1440</v>
      </c>
      <c r="D772" t="s">
        <v>3357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3360</v>
      </c>
    </row>
    <row r="774" spans="1:4" x14ac:dyDescent="0.3">
      <c r="A774">
        <v>798</v>
      </c>
      <c r="B774" s="13">
        <v>45902</v>
      </c>
      <c r="C774" t="s">
        <v>1973</v>
      </c>
      <c r="D774" t="s">
        <v>3361</v>
      </c>
    </row>
    <row r="775" spans="1:4" x14ac:dyDescent="0.3">
      <c r="A775">
        <v>799</v>
      </c>
      <c r="B775" s="13">
        <v>45902</v>
      </c>
      <c r="C775" t="s">
        <v>2994</v>
      </c>
      <c r="D775" t="s">
        <v>3362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3363</v>
      </c>
    </row>
    <row r="777" spans="1:4" x14ac:dyDescent="0.3">
      <c r="A777">
        <v>801</v>
      </c>
      <c r="B777" s="13">
        <v>45902</v>
      </c>
      <c r="C777" t="s">
        <v>1573</v>
      </c>
      <c r="D777" t="s">
        <v>3364</v>
      </c>
    </row>
    <row r="778" spans="1:4" x14ac:dyDescent="0.3">
      <c r="A778">
        <v>802</v>
      </c>
      <c r="B778" s="13">
        <v>45902</v>
      </c>
      <c r="C778" t="s">
        <v>1490</v>
      </c>
      <c r="D778" t="s">
        <v>3366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3367</v>
      </c>
    </row>
    <row r="780" spans="1:4" x14ac:dyDescent="0.3">
      <c r="A780">
        <v>804</v>
      </c>
      <c r="B780" s="13">
        <v>45903</v>
      </c>
      <c r="C780" t="s">
        <v>1786</v>
      </c>
      <c r="D780" t="s">
        <v>3368</v>
      </c>
    </row>
    <row r="781" spans="1:4" x14ac:dyDescent="0.3">
      <c r="A781">
        <v>805</v>
      </c>
      <c r="B781" s="13">
        <v>45903</v>
      </c>
      <c r="C781" t="s">
        <v>1463</v>
      </c>
      <c r="D781" t="s">
        <v>3369</v>
      </c>
    </row>
    <row r="782" spans="1:4" x14ac:dyDescent="0.3">
      <c r="A782">
        <v>806</v>
      </c>
      <c r="B782" s="13">
        <v>45903</v>
      </c>
      <c r="C782" t="s">
        <v>1440</v>
      </c>
      <c r="D782" t="s">
        <v>3370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3372</v>
      </c>
    </row>
    <row r="784" spans="1:4" x14ac:dyDescent="0.3">
      <c r="A784">
        <v>808</v>
      </c>
      <c r="B784" s="13">
        <v>45903</v>
      </c>
      <c r="C784" t="s">
        <v>1494</v>
      </c>
      <c r="D784" t="s">
        <v>3374</v>
      </c>
    </row>
    <row r="785" spans="1:4" x14ac:dyDescent="0.3">
      <c r="A785">
        <v>809</v>
      </c>
      <c r="B785" s="13">
        <v>45903</v>
      </c>
      <c r="C785" t="s">
        <v>1576</v>
      </c>
      <c r="D785" t="s">
        <v>3377</v>
      </c>
    </row>
    <row r="786" spans="1:4" x14ac:dyDescent="0.3">
      <c r="A786">
        <v>810</v>
      </c>
      <c r="B786" s="13">
        <v>45903</v>
      </c>
      <c r="C786" t="s">
        <v>3285</v>
      </c>
      <c r="D786" t="s">
        <v>3378</v>
      </c>
    </row>
    <row r="787" spans="1:4" x14ac:dyDescent="0.3">
      <c r="A787">
        <v>811</v>
      </c>
      <c r="B787" s="13">
        <v>45903</v>
      </c>
      <c r="C787" t="s">
        <v>1445</v>
      </c>
      <c r="D787" t="s">
        <v>3382</v>
      </c>
    </row>
    <row r="788" spans="1:4" x14ac:dyDescent="0.3">
      <c r="A788">
        <v>812</v>
      </c>
      <c r="B788" s="13">
        <v>45903</v>
      </c>
      <c r="C788" t="s">
        <v>1445</v>
      </c>
      <c r="D788" t="s">
        <v>3383</v>
      </c>
    </row>
    <row r="789" spans="1:4" x14ac:dyDescent="0.3">
      <c r="A789">
        <v>813</v>
      </c>
      <c r="B789" s="13">
        <v>45903</v>
      </c>
      <c r="C789" t="s">
        <v>2315</v>
      </c>
      <c r="D789" t="s">
        <v>3387</v>
      </c>
    </row>
    <row r="790" spans="1:4" x14ac:dyDescent="0.3">
      <c r="A790">
        <v>814</v>
      </c>
      <c r="B790" s="13">
        <v>45903</v>
      </c>
      <c r="C790" t="s">
        <v>3384</v>
      </c>
      <c r="D790" t="s">
        <v>3388</v>
      </c>
    </row>
    <row r="791" spans="1:4" x14ac:dyDescent="0.3">
      <c r="A791">
        <v>815</v>
      </c>
      <c r="B791" s="13">
        <v>45903</v>
      </c>
      <c r="C791" t="s">
        <v>1743</v>
      </c>
      <c r="D791" t="s">
        <v>3389</v>
      </c>
    </row>
    <row r="792" spans="1:4" x14ac:dyDescent="0.3">
      <c r="A792">
        <v>816</v>
      </c>
      <c r="B792" s="13">
        <v>45903</v>
      </c>
      <c r="C792" t="s">
        <v>2315</v>
      </c>
      <c r="D792" t="s">
        <v>3390</v>
      </c>
    </row>
    <row r="793" spans="1:4" x14ac:dyDescent="0.3">
      <c r="A793">
        <v>817</v>
      </c>
      <c r="B793" s="13">
        <v>45903</v>
      </c>
      <c r="C793" t="s">
        <v>1843</v>
      </c>
      <c r="D793" t="s">
        <v>3392</v>
      </c>
    </row>
    <row r="794" spans="1:4" x14ac:dyDescent="0.3">
      <c r="A794">
        <v>818</v>
      </c>
      <c r="B794" s="13">
        <v>45903</v>
      </c>
      <c r="C794" t="s">
        <v>1743</v>
      </c>
      <c r="D794" t="s">
        <v>3394</v>
      </c>
    </row>
    <row r="795" spans="1:4" x14ac:dyDescent="0.3">
      <c r="A795">
        <v>819</v>
      </c>
      <c r="B795" s="13">
        <v>45899</v>
      </c>
      <c r="C795" t="s">
        <v>1743</v>
      </c>
      <c r="D795" t="s">
        <v>3395</v>
      </c>
    </row>
    <row r="796" spans="1:4" x14ac:dyDescent="0.3">
      <c r="A796">
        <v>820</v>
      </c>
      <c r="B796" s="13">
        <v>45904</v>
      </c>
      <c r="C796" t="s">
        <v>1718</v>
      </c>
      <c r="D796" t="s">
        <v>3404</v>
      </c>
    </row>
    <row r="797" spans="1:4" x14ac:dyDescent="0.3">
      <c r="A797">
        <v>821</v>
      </c>
      <c r="B797" s="13">
        <v>45904</v>
      </c>
      <c r="C797" t="s">
        <v>1469</v>
      </c>
      <c r="D797" t="s">
        <v>3405</v>
      </c>
    </row>
    <row r="798" spans="1:4" x14ac:dyDescent="0.3">
      <c r="A798">
        <v>822</v>
      </c>
      <c r="B798" s="13">
        <v>45904</v>
      </c>
      <c r="C798" t="s">
        <v>2912</v>
      </c>
      <c r="D798" t="s">
        <v>3406</v>
      </c>
    </row>
    <row r="799" spans="1:4" x14ac:dyDescent="0.3">
      <c r="A799">
        <v>823</v>
      </c>
      <c r="B799" s="13">
        <v>45904</v>
      </c>
      <c r="C799" t="s">
        <v>1475</v>
      </c>
      <c r="D799" t="s">
        <v>3407</v>
      </c>
    </row>
    <row r="800" spans="1:4" x14ac:dyDescent="0.3">
      <c r="A800">
        <v>824</v>
      </c>
      <c r="B800" s="13">
        <v>45904</v>
      </c>
      <c r="C800" t="s">
        <v>3400</v>
      </c>
      <c r="D800" t="s">
        <v>3408</v>
      </c>
    </row>
    <row r="801" spans="1:4" x14ac:dyDescent="0.3">
      <c r="A801">
        <v>825</v>
      </c>
      <c r="B801" s="13">
        <v>45904</v>
      </c>
      <c r="C801" t="s">
        <v>1490</v>
      </c>
      <c r="D801" t="s">
        <v>3411</v>
      </c>
    </row>
    <row r="802" spans="1:4" x14ac:dyDescent="0.3">
      <c r="A802">
        <v>826</v>
      </c>
      <c r="B802" s="13">
        <v>45904</v>
      </c>
      <c r="C802" t="s">
        <v>1490</v>
      </c>
      <c r="D802" t="s">
        <v>3412</v>
      </c>
    </row>
    <row r="803" spans="1:4" x14ac:dyDescent="0.3">
      <c r="A803">
        <v>827</v>
      </c>
      <c r="B803" s="13">
        <v>45904</v>
      </c>
      <c r="C803" t="s">
        <v>1469</v>
      </c>
      <c r="D803" t="s">
        <v>3413</v>
      </c>
    </row>
    <row r="804" spans="1:4" x14ac:dyDescent="0.3">
      <c r="A804">
        <v>828</v>
      </c>
      <c r="B804" s="13">
        <v>45904</v>
      </c>
      <c r="C804" t="s">
        <v>3393</v>
      </c>
      <c r="D804" t="s">
        <v>3414</v>
      </c>
    </row>
    <row r="805" spans="1:4" x14ac:dyDescent="0.3">
      <c r="A805">
        <v>829</v>
      </c>
      <c r="B805" s="13">
        <v>45904</v>
      </c>
      <c r="C805" t="s">
        <v>3393</v>
      </c>
      <c r="D805" t="s">
        <v>3415</v>
      </c>
    </row>
    <row r="806" spans="1:4" x14ac:dyDescent="0.3">
      <c r="A806">
        <v>830</v>
      </c>
      <c r="B806" s="13">
        <v>45904</v>
      </c>
      <c r="C806" t="s">
        <v>1469</v>
      </c>
      <c r="D806" t="s">
        <v>3416</v>
      </c>
    </row>
    <row r="807" spans="1:4" x14ac:dyDescent="0.3">
      <c r="A807">
        <v>831</v>
      </c>
      <c r="B807" s="13">
        <v>45904</v>
      </c>
      <c r="C807" t="s">
        <v>1490</v>
      </c>
      <c r="D807" t="s">
        <v>3417</v>
      </c>
    </row>
    <row r="808" spans="1:4" x14ac:dyDescent="0.3">
      <c r="A808">
        <v>832</v>
      </c>
      <c r="B808" s="13">
        <v>45904</v>
      </c>
      <c r="C808" t="s">
        <v>1490</v>
      </c>
      <c r="D808" t="s">
        <v>3418</v>
      </c>
    </row>
    <row r="809" spans="1:4" x14ac:dyDescent="0.3">
      <c r="A809">
        <v>833</v>
      </c>
      <c r="B809" s="13">
        <v>45904</v>
      </c>
      <c r="C809" t="s">
        <v>3400</v>
      </c>
      <c r="D809" t="s">
        <v>3419</v>
      </c>
    </row>
    <row r="810" spans="1:4" x14ac:dyDescent="0.3">
      <c r="A810">
        <v>834</v>
      </c>
      <c r="B810" s="13">
        <v>45904</v>
      </c>
      <c r="C810" t="s">
        <v>1475</v>
      </c>
      <c r="D810" t="s">
        <v>3420</v>
      </c>
    </row>
    <row r="811" spans="1:4" x14ac:dyDescent="0.3">
      <c r="A811">
        <v>835</v>
      </c>
      <c r="B811" s="13">
        <v>45904</v>
      </c>
      <c r="C811" t="s">
        <v>2912</v>
      </c>
      <c r="D811" t="s">
        <v>3421</v>
      </c>
    </row>
    <row r="812" spans="1:4" x14ac:dyDescent="0.3">
      <c r="A812">
        <v>836</v>
      </c>
      <c r="B812" s="13">
        <v>45904</v>
      </c>
      <c r="C812" t="s">
        <v>1469</v>
      </c>
      <c r="D812" t="s">
        <v>3422</v>
      </c>
    </row>
    <row r="813" spans="1:4" x14ac:dyDescent="0.3">
      <c r="A813">
        <v>837</v>
      </c>
      <c r="B813" s="13">
        <v>45904</v>
      </c>
      <c r="C813" t="s">
        <v>1718</v>
      </c>
      <c r="D813" t="s">
        <v>3423</v>
      </c>
    </row>
    <row r="814" spans="1:4" x14ac:dyDescent="0.3">
      <c r="A814">
        <v>838</v>
      </c>
      <c r="B814" s="13">
        <v>45905</v>
      </c>
      <c r="C814" t="s">
        <v>1463</v>
      </c>
      <c r="D814" t="s">
        <v>3430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3431</v>
      </c>
    </row>
    <row r="816" spans="1:4" x14ac:dyDescent="0.3">
      <c r="A816">
        <v>840</v>
      </c>
      <c r="B816" s="13">
        <v>45905</v>
      </c>
      <c r="C816" t="s">
        <v>1440</v>
      </c>
      <c r="D816" t="s">
        <v>3433</v>
      </c>
    </row>
    <row r="817" spans="1:4" x14ac:dyDescent="0.3">
      <c r="A817">
        <v>841</v>
      </c>
      <c r="B817" s="13">
        <v>45905</v>
      </c>
      <c r="C817" t="s">
        <v>1302</v>
      </c>
      <c r="D817" t="s">
        <v>3434</v>
      </c>
    </row>
    <row r="818" spans="1:4" x14ac:dyDescent="0.3">
      <c r="A818">
        <v>842</v>
      </c>
      <c r="B818" s="13">
        <v>45905</v>
      </c>
      <c r="C818" t="s">
        <v>1718</v>
      </c>
      <c r="D818" t="s">
        <v>3436</v>
      </c>
    </row>
    <row r="819" spans="1:4" x14ac:dyDescent="0.3">
      <c r="A819">
        <v>843</v>
      </c>
      <c r="B819" s="13">
        <v>45905</v>
      </c>
      <c r="C819" t="s">
        <v>3145</v>
      </c>
      <c r="D819" t="s">
        <v>3437</v>
      </c>
    </row>
    <row r="820" spans="1:4" x14ac:dyDescent="0.3">
      <c r="A820">
        <v>844</v>
      </c>
      <c r="B820" s="13">
        <v>45905</v>
      </c>
      <c r="C820" t="s">
        <v>3438</v>
      </c>
      <c r="D820" t="s">
        <v>3439</v>
      </c>
    </row>
    <row r="821" spans="1:4" x14ac:dyDescent="0.3">
      <c r="A821">
        <v>845</v>
      </c>
      <c r="B821" s="13">
        <v>45905</v>
      </c>
      <c r="C821" t="s">
        <v>1395</v>
      </c>
      <c r="D821" t="s">
        <v>3440</v>
      </c>
    </row>
    <row r="822" spans="1:4" x14ac:dyDescent="0.3">
      <c r="A822">
        <v>846</v>
      </c>
      <c r="B822" s="13">
        <v>45905</v>
      </c>
      <c r="C822" t="s">
        <v>1469</v>
      </c>
      <c r="D822" t="s">
        <v>3452</v>
      </c>
    </row>
    <row r="823" spans="1:4" x14ac:dyDescent="0.3">
      <c r="A823">
        <v>847</v>
      </c>
      <c r="B823" s="13">
        <v>45906</v>
      </c>
      <c r="C823" t="s">
        <v>3453</v>
      </c>
      <c r="D823" t="s">
        <v>3462</v>
      </c>
    </row>
    <row r="824" spans="1:4" x14ac:dyDescent="0.3">
      <c r="A824">
        <v>848</v>
      </c>
      <c r="B824" s="13">
        <v>45906</v>
      </c>
      <c r="C824" t="s">
        <v>2994</v>
      </c>
      <c r="D824" t="s">
        <v>3464</v>
      </c>
    </row>
    <row r="825" spans="1:4" x14ac:dyDescent="0.3">
      <c r="A825">
        <v>849</v>
      </c>
      <c r="B825" s="13">
        <v>45906</v>
      </c>
      <c r="C825" t="s">
        <v>3456</v>
      </c>
      <c r="D825" t="s">
        <v>3466</v>
      </c>
    </row>
    <row r="826" spans="1:4" x14ac:dyDescent="0.3">
      <c r="A826">
        <v>850</v>
      </c>
      <c r="B826" s="13">
        <v>45908</v>
      </c>
      <c r="C826" t="s">
        <v>1490</v>
      </c>
      <c r="D826" t="s">
        <v>3468</v>
      </c>
    </row>
    <row r="827" spans="1:4" x14ac:dyDescent="0.3">
      <c r="A827">
        <v>851</v>
      </c>
      <c r="B827" s="13">
        <v>45908</v>
      </c>
      <c r="C827" t="s">
        <v>1582</v>
      </c>
      <c r="D827" t="s">
        <v>3469</v>
      </c>
    </row>
    <row r="828" spans="1:4" x14ac:dyDescent="0.3">
      <c r="A828">
        <v>852</v>
      </c>
      <c r="B828" s="13">
        <v>45908</v>
      </c>
      <c r="C828" t="s">
        <v>1302</v>
      </c>
      <c r="D828" t="s">
        <v>3470</v>
      </c>
    </row>
    <row r="829" spans="1:4" x14ac:dyDescent="0.3">
      <c r="A829">
        <v>853</v>
      </c>
      <c r="B829" s="13">
        <v>45908</v>
      </c>
      <c r="C829" t="s">
        <v>1576</v>
      </c>
      <c r="D829" t="s">
        <v>3471</v>
      </c>
    </row>
    <row r="830" spans="1:4" x14ac:dyDescent="0.3">
      <c r="A830">
        <v>854</v>
      </c>
      <c r="B830" s="13">
        <v>45908</v>
      </c>
      <c r="C830" t="s">
        <v>1667</v>
      </c>
      <c r="D830" t="s">
        <v>3474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3475</v>
      </c>
    </row>
    <row r="832" spans="1:4" x14ac:dyDescent="0.3">
      <c r="A832">
        <v>856</v>
      </c>
      <c r="B832" s="13">
        <v>45908</v>
      </c>
      <c r="C832" t="s">
        <v>1475</v>
      </c>
      <c r="D832" t="s">
        <v>3476</v>
      </c>
    </row>
    <row r="833" spans="1:4" x14ac:dyDescent="0.3">
      <c r="A833">
        <v>857</v>
      </c>
      <c r="B833" s="13">
        <v>45908</v>
      </c>
      <c r="C833" t="s">
        <v>1395</v>
      </c>
      <c r="D833" t="s">
        <v>3477</v>
      </c>
    </row>
    <row r="834" spans="1:4" x14ac:dyDescent="0.3">
      <c r="A834">
        <v>858</v>
      </c>
      <c r="B834" s="13">
        <v>45909</v>
      </c>
      <c r="C834" t="s">
        <v>2619</v>
      </c>
      <c r="D834" t="s">
        <v>3489</v>
      </c>
    </row>
    <row r="835" spans="1:4" x14ac:dyDescent="0.3">
      <c r="A835">
        <v>859</v>
      </c>
      <c r="B835" s="13">
        <v>45909</v>
      </c>
      <c r="C835" t="s">
        <v>2406</v>
      </c>
      <c r="D835" t="s">
        <v>3490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3491</v>
      </c>
    </row>
    <row r="837" spans="1:4" x14ac:dyDescent="0.3">
      <c r="A837">
        <v>861</v>
      </c>
      <c r="B837" s="13">
        <v>45909</v>
      </c>
      <c r="C837" t="s">
        <v>2463</v>
      </c>
      <c r="D837" t="s">
        <v>3492</v>
      </c>
    </row>
    <row r="838" spans="1:4" x14ac:dyDescent="0.3">
      <c r="A838">
        <v>862</v>
      </c>
      <c r="B838" s="13">
        <v>45909</v>
      </c>
      <c r="C838" t="s">
        <v>1863</v>
      </c>
      <c r="D838" t="s">
        <v>3493</v>
      </c>
    </row>
    <row r="839" spans="1:4" x14ac:dyDescent="0.3">
      <c r="A839">
        <v>863</v>
      </c>
      <c r="B839" s="13">
        <v>45910</v>
      </c>
      <c r="C839" t="s">
        <v>1445</v>
      </c>
      <c r="D839" t="s">
        <v>3494</v>
      </c>
    </row>
    <row r="840" spans="1:4" x14ac:dyDescent="0.3">
      <c r="A840">
        <v>864</v>
      </c>
      <c r="B840" s="13">
        <v>45910</v>
      </c>
      <c r="C840" t="s">
        <v>1667</v>
      </c>
      <c r="D840" t="s">
        <v>3495</v>
      </c>
    </row>
    <row r="841" spans="1:4" x14ac:dyDescent="0.3">
      <c r="A841">
        <v>865</v>
      </c>
      <c r="B841" s="13">
        <v>45910</v>
      </c>
      <c r="C841" t="s">
        <v>1866</v>
      </c>
      <c r="D841" t="s">
        <v>3496</v>
      </c>
    </row>
    <row r="842" spans="1:4" x14ac:dyDescent="0.3">
      <c r="A842">
        <v>866</v>
      </c>
      <c r="B842" s="13">
        <v>45910</v>
      </c>
      <c r="C842" t="s">
        <v>1537</v>
      </c>
      <c r="D842" t="s">
        <v>3499</v>
      </c>
    </row>
    <row r="843" spans="1:4" x14ac:dyDescent="0.3">
      <c r="A843">
        <v>867</v>
      </c>
      <c r="B843" s="13">
        <v>45910</v>
      </c>
      <c r="C843" t="s">
        <v>3497</v>
      </c>
      <c r="D843" t="s">
        <v>3503</v>
      </c>
    </row>
    <row r="844" spans="1:4" x14ac:dyDescent="0.3">
      <c r="A844">
        <v>868</v>
      </c>
      <c r="B844" s="13">
        <v>45910</v>
      </c>
      <c r="C844" t="s">
        <v>1440</v>
      </c>
      <c r="D844" t="s">
        <v>3504</v>
      </c>
    </row>
    <row r="845" spans="1:4" x14ac:dyDescent="0.3">
      <c r="A845">
        <v>869</v>
      </c>
      <c r="B845" s="13">
        <v>45910</v>
      </c>
      <c r="C845" t="s">
        <v>3384</v>
      </c>
      <c r="D845" t="s">
        <v>3505</v>
      </c>
    </row>
    <row r="846" spans="1:4" x14ac:dyDescent="0.3">
      <c r="A846">
        <v>870</v>
      </c>
      <c r="B846" s="13">
        <v>45910</v>
      </c>
      <c r="C846" t="s">
        <v>1440</v>
      </c>
      <c r="D846" t="s">
        <v>3506</v>
      </c>
    </row>
    <row r="847" spans="1:4" x14ac:dyDescent="0.3">
      <c r="A847">
        <v>871</v>
      </c>
      <c r="B847" s="13">
        <v>45910</v>
      </c>
      <c r="C847" t="s">
        <v>1302</v>
      </c>
      <c r="D847" t="s">
        <v>3507</v>
      </c>
    </row>
    <row r="848" spans="1:4" x14ac:dyDescent="0.3">
      <c r="A848">
        <v>872</v>
      </c>
      <c r="B848" s="13">
        <v>45910</v>
      </c>
      <c r="C848" t="s">
        <v>2779</v>
      </c>
      <c r="D848" t="s">
        <v>3508</v>
      </c>
    </row>
    <row r="849" spans="1:4" x14ac:dyDescent="0.3">
      <c r="A849">
        <v>873</v>
      </c>
      <c r="B849" s="13">
        <v>45910</v>
      </c>
      <c r="C849" t="s">
        <v>2779</v>
      </c>
      <c r="D849" t="s">
        <v>3509</v>
      </c>
    </row>
    <row r="850" spans="1:4" x14ac:dyDescent="0.3">
      <c r="A850">
        <v>874</v>
      </c>
      <c r="B850" s="13">
        <v>45910</v>
      </c>
      <c r="C850" t="s">
        <v>1445</v>
      </c>
      <c r="D850" t="s">
        <v>3510</v>
      </c>
    </row>
    <row r="851" spans="1:4" x14ac:dyDescent="0.3">
      <c r="A851">
        <v>875</v>
      </c>
      <c r="B851" s="13">
        <v>45910</v>
      </c>
      <c r="C851" t="s">
        <v>1445</v>
      </c>
      <c r="D851" t="s">
        <v>3511</v>
      </c>
    </row>
    <row r="852" spans="1:4" x14ac:dyDescent="0.3">
      <c r="A852">
        <v>876</v>
      </c>
      <c r="B852" s="13">
        <v>45910</v>
      </c>
      <c r="C852" t="s">
        <v>1786</v>
      </c>
      <c r="D852" t="s">
        <v>3512</v>
      </c>
    </row>
    <row r="853" spans="1:4" x14ac:dyDescent="0.3">
      <c r="A853">
        <v>877</v>
      </c>
      <c r="B853" s="13">
        <v>45911</v>
      </c>
      <c r="C853" t="s">
        <v>1463</v>
      </c>
      <c r="D853" t="s">
        <v>3518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3519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3520</v>
      </c>
    </row>
    <row r="856" spans="1:4" x14ac:dyDescent="0.3">
      <c r="A856">
        <v>880</v>
      </c>
      <c r="B856" s="13">
        <v>45911</v>
      </c>
      <c r="C856" t="s">
        <v>1808</v>
      </c>
      <c r="D856" t="s">
        <v>3521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3522</v>
      </c>
    </row>
    <row r="858" spans="1:4" x14ac:dyDescent="0.3">
      <c r="A858">
        <v>882</v>
      </c>
      <c r="B858" s="13">
        <v>45911</v>
      </c>
      <c r="C858" t="s">
        <v>1445</v>
      </c>
      <c r="D858" t="s">
        <v>3525</v>
      </c>
    </row>
    <row r="859" spans="1:4" x14ac:dyDescent="0.3">
      <c r="A859">
        <v>883</v>
      </c>
      <c r="B859" s="13">
        <v>45911</v>
      </c>
      <c r="C859" t="s">
        <v>1395</v>
      </c>
      <c r="D859" t="s">
        <v>3526</v>
      </c>
    </row>
    <row r="860" spans="1:4" x14ac:dyDescent="0.3">
      <c r="A860">
        <v>884</v>
      </c>
      <c r="B860" s="13">
        <v>45911</v>
      </c>
      <c r="C860" t="s">
        <v>1395</v>
      </c>
      <c r="D860" t="s">
        <v>3527</v>
      </c>
    </row>
    <row r="861" spans="1:4" x14ac:dyDescent="0.3">
      <c r="A861">
        <v>885</v>
      </c>
      <c r="B861" s="13">
        <v>45911</v>
      </c>
      <c r="C861" t="s">
        <v>1786</v>
      </c>
      <c r="D861" t="s">
        <v>3528</v>
      </c>
    </row>
    <row r="862" spans="1:4" x14ac:dyDescent="0.3">
      <c r="A862">
        <v>886</v>
      </c>
      <c r="B862" s="13">
        <v>45911</v>
      </c>
      <c r="C862" t="s">
        <v>3111</v>
      </c>
      <c r="D862" t="s">
        <v>3529</v>
      </c>
    </row>
    <row r="863" spans="1:4" x14ac:dyDescent="0.3">
      <c r="A863">
        <v>887</v>
      </c>
      <c r="B863" s="13">
        <v>45912</v>
      </c>
      <c r="C863" t="s">
        <v>1469</v>
      </c>
      <c r="D863" t="s">
        <v>3531</v>
      </c>
    </row>
    <row r="864" spans="1:4" x14ac:dyDescent="0.3">
      <c r="A864">
        <v>888</v>
      </c>
      <c r="B864" s="13">
        <v>45912</v>
      </c>
      <c r="C864" t="s">
        <v>1667</v>
      </c>
      <c r="D864" t="s">
        <v>3532</v>
      </c>
    </row>
    <row r="865" spans="1:4" x14ac:dyDescent="0.3">
      <c r="A865">
        <v>889</v>
      </c>
      <c r="B865" s="13">
        <v>45912</v>
      </c>
      <c r="C865" t="s">
        <v>1718</v>
      </c>
      <c r="D865" t="s">
        <v>3533</v>
      </c>
    </row>
    <row r="866" spans="1:4" x14ac:dyDescent="0.3">
      <c r="A866">
        <v>890</v>
      </c>
      <c r="B866" s="13">
        <v>45912</v>
      </c>
      <c r="C866" t="s">
        <v>2912</v>
      </c>
      <c r="D866" t="s">
        <v>3534</v>
      </c>
    </row>
    <row r="867" spans="1:4" x14ac:dyDescent="0.3">
      <c r="A867">
        <v>891</v>
      </c>
      <c r="B867" s="13">
        <v>45912</v>
      </c>
      <c r="C867" t="s">
        <v>1718</v>
      </c>
      <c r="D867" t="s">
        <v>3536</v>
      </c>
    </row>
    <row r="868" spans="1:4" x14ac:dyDescent="0.3">
      <c r="A868">
        <v>892</v>
      </c>
      <c r="B868" s="13">
        <v>45912</v>
      </c>
      <c r="C868" t="s">
        <v>1465</v>
      </c>
      <c r="D868" t="s">
        <v>3537</v>
      </c>
    </row>
    <row r="869" spans="1:4" x14ac:dyDescent="0.3">
      <c r="A869">
        <v>893</v>
      </c>
      <c r="B869" s="13">
        <v>45912</v>
      </c>
      <c r="C869" t="s">
        <v>3538</v>
      </c>
      <c r="D869" t="s">
        <v>3539</v>
      </c>
    </row>
    <row r="870" spans="1:4" x14ac:dyDescent="0.3">
      <c r="A870">
        <v>894</v>
      </c>
      <c r="B870" s="13">
        <v>45913</v>
      </c>
      <c r="C870" t="s">
        <v>1718</v>
      </c>
      <c r="D870" t="s">
        <v>3542</v>
      </c>
    </row>
    <row r="871" spans="1:4" x14ac:dyDescent="0.3">
      <c r="A871">
        <v>895</v>
      </c>
      <c r="B871" s="13">
        <v>45915</v>
      </c>
      <c r="C871" t="s">
        <v>1445</v>
      </c>
      <c r="D871" t="s">
        <v>3545</v>
      </c>
    </row>
    <row r="872" spans="1:4" x14ac:dyDescent="0.3">
      <c r="A872">
        <v>896</v>
      </c>
      <c r="B872" s="13">
        <v>45915</v>
      </c>
      <c r="C872" t="s">
        <v>1976</v>
      </c>
      <c r="D872" t="s">
        <v>3546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3547</v>
      </c>
    </row>
    <row r="874" spans="1:4" x14ac:dyDescent="0.3">
      <c r="A874">
        <v>898</v>
      </c>
      <c r="B874" s="13">
        <v>45915</v>
      </c>
      <c r="C874" t="s">
        <v>1857</v>
      </c>
      <c r="D874" t="s">
        <v>3548</v>
      </c>
    </row>
    <row r="875" spans="1:4" x14ac:dyDescent="0.3">
      <c r="A875">
        <v>899</v>
      </c>
      <c r="B875" s="13">
        <v>45915</v>
      </c>
      <c r="C875" t="s">
        <v>1395</v>
      </c>
      <c r="D875" t="s">
        <v>3549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3550</v>
      </c>
    </row>
    <row r="877" spans="1:4" x14ac:dyDescent="0.3">
      <c r="A877">
        <v>901</v>
      </c>
      <c r="B877" s="13">
        <v>45915</v>
      </c>
      <c r="C877" t="s">
        <v>1440</v>
      </c>
      <c r="D877" t="s">
        <v>3552</v>
      </c>
    </row>
    <row r="878" spans="1:4" x14ac:dyDescent="0.3">
      <c r="A878">
        <v>902</v>
      </c>
      <c r="B878" s="13">
        <v>45916</v>
      </c>
      <c r="C878" t="s">
        <v>1576</v>
      </c>
      <c r="D878" t="s">
        <v>3554</v>
      </c>
    </row>
    <row r="879" spans="1:4" x14ac:dyDescent="0.3">
      <c r="A879">
        <v>903</v>
      </c>
      <c r="B879" s="13">
        <v>45916</v>
      </c>
      <c r="C879" t="s">
        <v>2288</v>
      </c>
      <c r="D879" t="s">
        <v>3555</v>
      </c>
    </row>
    <row r="880" spans="1:4" x14ac:dyDescent="0.3">
      <c r="A880">
        <v>904</v>
      </c>
      <c r="B880" s="13">
        <v>45916</v>
      </c>
      <c r="C880" t="s">
        <v>1976</v>
      </c>
      <c r="D880" t="s">
        <v>3557</v>
      </c>
    </row>
    <row r="881" spans="1:4" x14ac:dyDescent="0.3">
      <c r="A881">
        <v>905</v>
      </c>
      <c r="B881" s="13">
        <v>45916</v>
      </c>
      <c r="C881" t="s">
        <v>1440</v>
      </c>
      <c r="D881" t="s">
        <v>3558</v>
      </c>
    </row>
    <row r="882" spans="1:4" x14ac:dyDescent="0.3">
      <c r="A882">
        <v>906</v>
      </c>
      <c r="B882" s="13">
        <v>45916</v>
      </c>
      <c r="C882" t="s">
        <v>1450</v>
      </c>
      <c r="D882" t="s">
        <v>3559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3560</v>
      </c>
    </row>
    <row r="884" spans="1:4" x14ac:dyDescent="0.3">
      <c r="A884">
        <v>908</v>
      </c>
      <c r="B884" s="13">
        <v>45916</v>
      </c>
      <c r="C884" t="s">
        <v>1718</v>
      </c>
      <c r="D884" t="s">
        <v>3561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3562</v>
      </c>
    </row>
    <row r="886" spans="1:4" x14ac:dyDescent="0.3">
      <c r="A886">
        <v>910</v>
      </c>
      <c r="B886" s="13">
        <v>45916</v>
      </c>
      <c r="C886" t="s">
        <v>1490</v>
      </c>
      <c r="D886" t="s">
        <v>3563</v>
      </c>
    </row>
    <row r="887" spans="1:4" x14ac:dyDescent="0.3">
      <c r="A887">
        <v>911</v>
      </c>
      <c r="B887" s="13">
        <v>45917</v>
      </c>
      <c r="C887" t="s">
        <v>3568</v>
      </c>
      <c r="D887" t="s">
        <v>3575</v>
      </c>
    </row>
    <row r="888" spans="1:4" x14ac:dyDescent="0.3">
      <c r="A888">
        <v>912</v>
      </c>
      <c r="B888" s="13">
        <v>45917</v>
      </c>
      <c r="C888" t="s">
        <v>1801</v>
      </c>
      <c r="D888" t="s">
        <v>3576</v>
      </c>
    </row>
    <row r="889" spans="1:4" x14ac:dyDescent="0.3">
      <c r="A889">
        <v>913</v>
      </c>
      <c r="B889" s="13">
        <v>45917</v>
      </c>
      <c r="C889" t="s">
        <v>1743</v>
      </c>
      <c r="D889" t="s">
        <v>3577</v>
      </c>
    </row>
    <row r="890" spans="1:4" x14ac:dyDescent="0.3">
      <c r="A890">
        <v>914</v>
      </c>
      <c r="B890" s="13">
        <v>45917</v>
      </c>
      <c r="C890" t="s">
        <v>1718</v>
      </c>
      <c r="D890" t="s">
        <v>3579</v>
      </c>
    </row>
    <row r="891" spans="1:4" x14ac:dyDescent="0.3">
      <c r="A891">
        <v>915</v>
      </c>
      <c r="B891" s="13">
        <v>45917</v>
      </c>
      <c r="C891" t="s">
        <v>2141</v>
      </c>
      <c r="D891" t="s">
        <v>3580</v>
      </c>
    </row>
    <row r="892" spans="1:4" x14ac:dyDescent="0.3">
      <c r="A892">
        <v>916</v>
      </c>
      <c r="B892" s="13">
        <v>45917</v>
      </c>
      <c r="C892" t="s">
        <v>2144</v>
      </c>
      <c r="D892" t="s">
        <v>3581</v>
      </c>
    </row>
    <row r="893" spans="1:4" x14ac:dyDescent="0.3">
      <c r="A893">
        <v>917</v>
      </c>
      <c r="B893" s="13">
        <v>45917</v>
      </c>
      <c r="C893" t="s">
        <v>1667</v>
      </c>
      <c r="D893" t="s">
        <v>3582</v>
      </c>
    </row>
    <row r="894" spans="1:4" x14ac:dyDescent="0.3">
      <c r="A894">
        <v>918</v>
      </c>
      <c r="B894" s="13">
        <v>45918</v>
      </c>
      <c r="C894" t="s">
        <v>1395</v>
      </c>
      <c r="D894" t="s">
        <v>3594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3595</v>
      </c>
    </row>
    <row r="896" spans="1:4" x14ac:dyDescent="0.3">
      <c r="A896">
        <v>920</v>
      </c>
      <c r="B896" s="13">
        <v>45918</v>
      </c>
      <c r="C896" t="s">
        <v>1463</v>
      </c>
      <c r="D896" t="s">
        <v>3596</v>
      </c>
    </row>
    <row r="897" spans="1:4" x14ac:dyDescent="0.3">
      <c r="A897">
        <v>921</v>
      </c>
      <c r="B897" s="13">
        <v>45918</v>
      </c>
      <c r="C897" t="s">
        <v>1469</v>
      </c>
      <c r="D897" t="s">
        <v>3597</v>
      </c>
    </row>
    <row r="898" spans="1:4" x14ac:dyDescent="0.3">
      <c r="A898">
        <v>922</v>
      </c>
      <c r="B898" s="13">
        <v>45918</v>
      </c>
      <c r="C898" t="s">
        <v>3116</v>
      </c>
      <c r="D898" t="s">
        <v>3599</v>
      </c>
    </row>
    <row r="899" spans="1:4" x14ac:dyDescent="0.3">
      <c r="A899">
        <v>923</v>
      </c>
      <c r="B899" s="13">
        <v>45918</v>
      </c>
      <c r="C899" t="s">
        <v>1927</v>
      </c>
      <c r="D899" t="s">
        <v>3600</v>
      </c>
    </row>
    <row r="900" spans="1:4" x14ac:dyDescent="0.3">
      <c r="A900">
        <v>924</v>
      </c>
      <c r="B900" s="13">
        <v>45918</v>
      </c>
      <c r="C900" t="s">
        <v>3445</v>
      </c>
      <c r="D900" t="s">
        <v>3601</v>
      </c>
    </row>
    <row r="901" spans="1:4" x14ac:dyDescent="0.3">
      <c r="A901">
        <v>925</v>
      </c>
      <c r="B901" s="13">
        <v>45918</v>
      </c>
      <c r="C901" t="s">
        <v>1440</v>
      </c>
      <c r="D901" t="s">
        <v>3602</v>
      </c>
    </row>
    <row r="902" spans="1:4" x14ac:dyDescent="0.3">
      <c r="A902">
        <v>926</v>
      </c>
      <c r="B902" s="13">
        <v>45918</v>
      </c>
      <c r="C902" t="s">
        <v>1743</v>
      </c>
      <c r="D902" t="s">
        <v>3603</v>
      </c>
    </row>
    <row r="903" spans="1:4" x14ac:dyDescent="0.3">
      <c r="A903">
        <v>927</v>
      </c>
      <c r="B903" s="13">
        <v>45918</v>
      </c>
      <c r="C903" t="s">
        <v>2805</v>
      </c>
      <c r="D903" t="s">
        <v>3604</v>
      </c>
    </row>
    <row r="904" spans="1:4" x14ac:dyDescent="0.3">
      <c r="A904">
        <v>928</v>
      </c>
      <c r="B904" s="13">
        <v>45918</v>
      </c>
      <c r="C904" t="s">
        <v>3111</v>
      </c>
      <c r="D904" t="s">
        <v>3605</v>
      </c>
    </row>
    <row r="905" spans="1:4" x14ac:dyDescent="0.3">
      <c r="A905">
        <v>929</v>
      </c>
      <c r="B905" s="13">
        <v>45918</v>
      </c>
      <c r="C905" t="s">
        <v>2700</v>
      </c>
      <c r="D905" t="s">
        <v>3606</v>
      </c>
    </row>
    <row r="906" spans="1:4" x14ac:dyDescent="0.3">
      <c r="A906">
        <v>930</v>
      </c>
      <c r="B906" s="13">
        <v>45918</v>
      </c>
      <c r="C906" t="s">
        <v>2315</v>
      </c>
      <c r="D906" t="s">
        <v>3607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3614</v>
      </c>
    </row>
    <row r="908" spans="1:4" x14ac:dyDescent="0.3">
      <c r="A908">
        <v>932</v>
      </c>
      <c r="B908" s="13">
        <v>45919</v>
      </c>
      <c r="C908" t="s">
        <v>1395</v>
      </c>
      <c r="D908" t="s">
        <v>3615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3616</v>
      </c>
    </row>
    <row r="910" spans="1:4" x14ac:dyDescent="0.3">
      <c r="A910">
        <v>934</v>
      </c>
      <c r="B910" s="13">
        <v>45919</v>
      </c>
      <c r="C910" t="s">
        <v>2738</v>
      </c>
      <c r="D910" t="s">
        <v>3618</v>
      </c>
    </row>
    <row r="911" spans="1:4" x14ac:dyDescent="0.3">
      <c r="A911">
        <v>935</v>
      </c>
      <c r="B911" s="13">
        <v>45920</v>
      </c>
      <c r="C911" t="s">
        <v>1805</v>
      </c>
      <c r="D911" t="s">
        <v>3626</v>
      </c>
    </row>
    <row r="912" spans="1:4" x14ac:dyDescent="0.3">
      <c r="A912">
        <v>936</v>
      </c>
      <c r="B912" s="13">
        <v>45922</v>
      </c>
      <c r="C912" t="s">
        <v>1433</v>
      </c>
      <c r="D912" t="s">
        <v>3631</v>
      </c>
    </row>
    <row r="913" spans="1:4" x14ac:dyDescent="0.3">
      <c r="A913">
        <v>937</v>
      </c>
      <c r="B913" s="13">
        <v>45922</v>
      </c>
      <c r="C913" t="s">
        <v>1973</v>
      </c>
      <c r="D913" t="s">
        <v>3632</v>
      </c>
    </row>
    <row r="914" spans="1:4" x14ac:dyDescent="0.3">
      <c r="A914">
        <v>938</v>
      </c>
      <c r="B914" s="13">
        <v>45922</v>
      </c>
      <c r="C914" t="s">
        <v>1576</v>
      </c>
      <c r="D914" t="s">
        <v>3633</v>
      </c>
    </row>
    <row r="915" spans="1:4" x14ac:dyDescent="0.3">
      <c r="A915">
        <v>939</v>
      </c>
      <c r="B915" s="13">
        <v>45922</v>
      </c>
      <c r="C915" t="s">
        <v>1463</v>
      </c>
      <c r="D915" t="s">
        <v>3634</v>
      </c>
    </row>
    <row r="916" spans="1:4" x14ac:dyDescent="0.3">
      <c r="A916">
        <v>940</v>
      </c>
      <c r="B916" s="13">
        <v>45922</v>
      </c>
      <c r="C916" t="s">
        <v>1438</v>
      </c>
      <c r="D916" t="s">
        <v>3635</v>
      </c>
    </row>
    <row r="917" spans="1:4" x14ac:dyDescent="0.3">
      <c r="A917">
        <v>941</v>
      </c>
      <c r="B917" s="13">
        <v>45922</v>
      </c>
      <c r="C917" t="s">
        <v>2406</v>
      </c>
      <c r="D917" t="s">
        <v>3636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3637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3644</v>
      </c>
    </row>
    <row r="922" spans="1:4" x14ac:dyDescent="0.3">
      <c r="A922">
        <v>946</v>
      </c>
      <c r="B922" s="13">
        <v>45923</v>
      </c>
      <c r="C922" t="s">
        <v>1857</v>
      </c>
      <c r="D922" t="s">
        <v>3645</v>
      </c>
    </row>
    <row r="923" spans="1:4" x14ac:dyDescent="0.3">
      <c r="A923">
        <v>947</v>
      </c>
      <c r="B923" s="13">
        <v>45923</v>
      </c>
      <c r="C923" t="s">
        <v>1448</v>
      </c>
      <c r="D923" t="s">
        <v>3646</v>
      </c>
    </row>
    <row r="924" spans="1:4" x14ac:dyDescent="0.3">
      <c r="A924">
        <v>948</v>
      </c>
      <c r="B924" s="13">
        <v>45923</v>
      </c>
      <c r="C924" t="s">
        <v>1654</v>
      </c>
      <c r="D924" t="s">
        <v>3647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3650</v>
      </c>
    </row>
    <row r="927" spans="1:4" x14ac:dyDescent="0.3">
      <c r="A927">
        <v>951</v>
      </c>
      <c r="B927" s="13">
        <v>45923</v>
      </c>
      <c r="C927" t="s">
        <v>1537</v>
      </c>
      <c r="D927" t="s">
        <v>3652</v>
      </c>
    </row>
    <row r="928" spans="1:4" x14ac:dyDescent="0.3">
      <c r="A928">
        <v>952</v>
      </c>
      <c r="B928" s="13">
        <v>45924</v>
      </c>
      <c r="C928" t="s">
        <v>1387</v>
      </c>
      <c r="D928" t="s">
        <v>3659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3661</v>
      </c>
    </row>
    <row r="930" spans="1:4" x14ac:dyDescent="0.3">
      <c r="A930">
        <v>954</v>
      </c>
      <c r="B930" s="13">
        <v>45924</v>
      </c>
      <c r="C930" t="s">
        <v>1395</v>
      </c>
      <c r="D930" t="s">
        <v>3662</v>
      </c>
    </row>
    <row r="931" spans="1:4" x14ac:dyDescent="0.3">
      <c r="A931">
        <v>955</v>
      </c>
      <c r="B931" s="13">
        <v>45924</v>
      </c>
      <c r="C931" t="s">
        <v>2738</v>
      </c>
      <c r="D931" t="s">
        <v>3663</v>
      </c>
    </row>
    <row r="932" spans="1:4" x14ac:dyDescent="0.3">
      <c r="A932">
        <v>956</v>
      </c>
      <c r="B932" s="13">
        <v>45924</v>
      </c>
      <c r="C932" t="s">
        <v>1445</v>
      </c>
      <c r="D932" t="s">
        <v>3664</v>
      </c>
    </row>
    <row r="933" spans="1:4" x14ac:dyDescent="0.3">
      <c r="A933">
        <v>957</v>
      </c>
      <c r="B933" s="13">
        <v>45926</v>
      </c>
      <c r="C933" t="s">
        <v>1801</v>
      </c>
      <c r="D933" t="s">
        <v>3712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3713</v>
      </c>
    </row>
    <row r="935" spans="1:4" x14ac:dyDescent="0.3">
      <c r="A935">
        <v>959</v>
      </c>
      <c r="B935" s="13">
        <v>45926</v>
      </c>
      <c r="C935" t="s">
        <v>1395</v>
      </c>
      <c r="D935" t="s">
        <v>3714</v>
      </c>
    </row>
    <row r="936" spans="1:4" x14ac:dyDescent="0.3">
      <c r="A936">
        <v>960</v>
      </c>
      <c r="B936" s="13">
        <v>45926</v>
      </c>
      <c r="C936" t="s">
        <v>1537</v>
      </c>
      <c r="D936" t="s">
        <v>3715</v>
      </c>
    </row>
    <row r="937" spans="1:4" x14ac:dyDescent="0.3">
      <c r="A937">
        <v>961</v>
      </c>
      <c r="B937" s="13">
        <v>45926</v>
      </c>
      <c r="C937" t="s">
        <v>3716</v>
      </c>
      <c r="D937" t="s">
        <v>3718</v>
      </c>
    </row>
    <row r="938" spans="1:4" x14ac:dyDescent="0.3">
      <c r="A938">
        <v>962</v>
      </c>
      <c r="B938" s="13">
        <v>45927</v>
      </c>
      <c r="C938" t="s">
        <v>3719</v>
      </c>
      <c r="D938" t="s">
        <v>3723</v>
      </c>
    </row>
    <row r="939" spans="1:4" x14ac:dyDescent="0.3">
      <c r="A939">
        <v>963</v>
      </c>
      <c r="B939" s="13">
        <v>45927</v>
      </c>
      <c r="C939" t="s">
        <v>1957</v>
      </c>
      <c r="D939" t="s">
        <v>3726</v>
      </c>
    </row>
    <row r="940" spans="1:4" x14ac:dyDescent="0.3">
      <c r="A940">
        <v>964</v>
      </c>
      <c r="B940" s="13">
        <v>45929</v>
      </c>
      <c r="C940" t="s">
        <v>2254</v>
      </c>
      <c r="D940" t="s">
        <v>3731</v>
      </c>
    </row>
    <row r="941" spans="1:4" x14ac:dyDescent="0.3">
      <c r="A941">
        <v>965</v>
      </c>
      <c r="B941" s="13">
        <v>45925</v>
      </c>
      <c r="C941" t="s">
        <v>1463</v>
      </c>
      <c r="D941" t="s">
        <v>3737</v>
      </c>
    </row>
    <row r="942" spans="1:4" x14ac:dyDescent="0.3">
      <c r="A942">
        <v>966</v>
      </c>
      <c r="B942" s="13">
        <v>45929</v>
      </c>
      <c r="C942" t="s">
        <v>1463</v>
      </c>
      <c r="D942" t="s">
        <v>3739</v>
      </c>
    </row>
    <row r="943" spans="1:4" x14ac:dyDescent="0.3">
      <c r="A943">
        <v>967</v>
      </c>
      <c r="B943" s="13">
        <v>45929</v>
      </c>
      <c r="C943" t="s">
        <v>1743</v>
      </c>
      <c r="D943" t="s">
        <v>3740</v>
      </c>
    </row>
    <row r="944" spans="1:4" x14ac:dyDescent="0.3">
      <c r="A944">
        <v>968</v>
      </c>
      <c r="B944" s="13">
        <v>45929</v>
      </c>
      <c r="C944" t="s">
        <v>2854</v>
      </c>
      <c r="D944" t="s">
        <v>3741</v>
      </c>
    </row>
    <row r="945" spans="1:4" x14ac:dyDescent="0.3">
      <c r="A945">
        <v>969</v>
      </c>
      <c r="B945" s="13">
        <v>45929</v>
      </c>
      <c r="C945" t="s">
        <v>1387</v>
      </c>
      <c r="D945" t="s">
        <v>3742</v>
      </c>
    </row>
    <row r="946" spans="1:4" x14ac:dyDescent="0.3">
      <c r="A946">
        <v>970</v>
      </c>
      <c r="B946" s="13">
        <v>45929</v>
      </c>
      <c r="C946" t="s">
        <v>1957</v>
      </c>
      <c r="D946" t="s">
        <v>3744</v>
      </c>
    </row>
    <row r="947" spans="1:4" x14ac:dyDescent="0.3">
      <c r="A947">
        <v>971</v>
      </c>
      <c r="B947" s="13">
        <v>45929</v>
      </c>
      <c r="C947" t="s">
        <v>3264</v>
      </c>
      <c r="D947" t="s">
        <v>3746</v>
      </c>
    </row>
    <row r="948" spans="1:4" x14ac:dyDescent="0.3">
      <c r="A948">
        <v>972</v>
      </c>
      <c r="B948" s="13">
        <v>45929</v>
      </c>
      <c r="C948" t="s">
        <v>3456</v>
      </c>
      <c r="D948" t="s">
        <v>3748</v>
      </c>
    </row>
    <row r="949" spans="1:4" x14ac:dyDescent="0.3">
      <c r="A949">
        <v>973</v>
      </c>
      <c r="B949" s="13">
        <v>45929</v>
      </c>
      <c r="C949" t="s">
        <v>1718</v>
      </c>
      <c r="D949" t="s">
        <v>3749</v>
      </c>
    </row>
    <row r="950" spans="1:4" x14ac:dyDescent="0.3">
      <c r="A950">
        <v>974</v>
      </c>
      <c r="B950" s="13">
        <v>45925</v>
      </c>
      <c r="C950" t="s">
        <v>1395</v>
      </c>
      <c r="D950" t="s">
        <v>3750</v>
      </c>
    </row>
    <row r="951" spans="1:4" x14ac:dyDescent="0.3">
      <c r="A951">
        <v>975</v>
      </c>
      <c r="B951" s="13">
        <v>45925</v>
      </c>
      <c r="C951" t="s">
        <v>1537</v>
      </c>
      <c r="D951" t="s">
        <v>3751</v>
      </c>
    </row>
    <row r="952" spans="1:4" x14ac:dyDescent="0.3">
      <c r="A952">
        <v>976</v>
      </c>
      <c r="B952" s="13">
        <v>45925</v>
      </c>
      <c r="C952" t="s">
        <v>1374</v>
      </c>
      <c r="D952" t="s">
        <v>3752</v>
      </c>
    </row>
    <row r="953" spans="1:4" x14ac:dyDescent="0.3">
      <c r="A953">
        <v>977</v>
      </c>
      <c r="B953" s="13">
        <v>45929</v>
      </c>
      <c r="C953" t="s">
        <v>1537</v>
      </c>
      <c r="D953" t="s">
        <v>3753</v>
      </c>
    </row>
    <row r="954" spans="1:4" x14ac:dyDescent="0.3">
      <c r="A954">
        <v>978</v>
      </c>
      <c r="B954" s="13">
        <v>45930</v>
      </c>
      <c r="C954" t="s">
        <v>2144</v>
      </c>
      <c r="D954" t="s">
        <v>3763</v>
      </c>
    </row>
    <row r="955" spans="1:4" x14ac:dyDescent="0.3">
      <c r="A955">
        <v>979</v>
      </c>
      <c r="B955" s="13">
        <v>45930</v>
      </c>
      <c r="C955" t="s">
        <v>1537</v>
      </c>
      <c r="D955" t="s">
        <v>3764</v>
      </c>
    </row>
    <row r="956" spans="1:4" x14ac:dyDescent="0.3">
      <c r="A956">
        <v>980</v>
      </c>
      <c r="B956" s="13">
        <v>45930</v>
      </c>
      <c r="C956" t="s">
        <v>2619</v>
      </c>
      <c r="D956" t="s">
        <v>3766</v>
      </c>
    </row>
    <row r="957" spans="1:4" x14ac:dyDescent="0.3">
      <c r="A957">
        <v>981</v>
      </c>
      <c r="B957" s="13">
        <v>45930</v>
      </c>
      <c r="C957" t="s">
        <v>1395</v>
      </c>
      <c r="D957" t="s">
        <v>3767</v>
      </c>
    </row>
    <row r="958" spans="1:4" x14ac:dyDescent="0.3">
      <c r="A958">
        <v>982</v>
      </c>
      <c r="B958" s="13">
        <v>45930</v>
      </c>
      <c r="C958" t="s">
        <v>1463</v>
      </c>
      <c r="D958" t="s">
        <v>3768</v>
      </c>
    </row>
    <row r="959" spans="1:4" x14ac:dyDescent="0.3">
      <c r="A959">
        <v>983</v>
      </c>
      <c r="B959" s="13">
        <v>45930</v>
      </c>
      <c r="C959" t="s">
        <v>1718</v>
      </c>
      <c r="D959" t="s">
        <v>3769</v>
      </c>
    </row>
    <row r="960" spans="1:4" x14ac:dyDescent="0.3">
      <c r="A960">
        <v>984</v>
      </c>
      <c r="B960" s="13">
        <v>45930</v>
      </c>
      <c r="C960" t="s">
        <v>1743</v>
      </c>
      <c r="D960" t="s">
        <v>3770</v>
      </c>
    </row>
    <row r="961" spans="1:4" x14ac:dyDescent="0.3">
      <c r="A961">
        <v>985</v>
      </c>
      <c r="B961" s="13">
        <v>45930</v>
      </c>
      <c r="C961" t="s">
        <v>3756</v>
      </c>
      <c r="D961" t="s">
        <v>3771</v>
      </c>
    </row>
    <row r="962" spans="1:4" x14ac:dyDescent="0.3">
      <c r="A962">
        <v>986</v>
      </c>
      <c r="B962" s="13">
        <v>45931</v>
      </c>
      <c r="C962" t="s">
        <v>1843</v>
      </c>
      <c r="D962" t="s">
        <v>3805</v>
      </c>
    </row>
    <row r="963" spans="1:4" x14ac:dyDescent="0.3">
      <c r="A963">
        <v>987</v>
      </c>
      <c r="B963" s="13">
        <v>45931</v>
      </c>
      <c r="C963" t="s">
        <v>1743</v>
      </c>
      <c r="D963" t="s">
        <v>3806</v>
      </c>
    </row>
    <row r="964" spans="1:4" x14ac:dyDescent="0.3">
      <c r="A964">
        <v>988</v>
      </c>
      <c r="B964" s="13">
        <v>45931</v>
      </c>
      <c r="C964" t="s">
        <v>1886</v>
      </c>
      <c r="D964" t="s">
        <v>3807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3808</v>
      </c>
    </row>
    <row r="966" spans="1:4" x14ac:dyDescent="0.3">
      <c r="A966">
        <v>990</v>
      </c>
      <c r="B966" s="13">
        <v>45931</v>
      </c>
      <c r="C966" t="s">
        <v>1866</v>
      </c>
      <c r="D966" t="s">
        <v>3810</v>
      </c>
    </row>
    <row r="967" spans="1:4" x14ac:dyDescent="0.3">
      <c r="A967">
        <v>991</v>
      </c>
      <c r="B967" s="13">
        <v>45931</v>
      </c>
      <c r="C967" t="s">
        <v>3811</v>
      </c>
      <c r="D967" t="s">
        <v>3812</v>
      </c>
    </row>
    <row r="968" spans="1:4" x14ac:dyDescent="0.3">
      <c r="A968">
        <v>992</v>
      </c>
      <c r="B968" s="13">
        <v>45932</v>
      </c>
      <c r="C968" t="s">
        <v>1718</v>
      </c>
      <c r="D968" t="s">
        <v>3817</v>
      </c>
    </row>
    <row r="969" spans="1:4" x14ac:dyDescent="0.3">
      <c r="A969">
        <v>993</v>
      </c>
      <c r="B969" s="13">
        <v>45932</v>
      </c>
      <c r="C969" t="s">
        <v>1786</v>
      </c>
      <c r="D969" t="s">
        <v>3818</v>
      </c>
    </row>
    <row r="970" spans="1:4" x14ac:dyDescent="0.3">
      <c r="A970">
        <v>994</v>
      </c>
      <c r="B970" s="13">
        <v>45932</v>
      </c>
      <c r="C970" t="s">
        <v>1395</v>
      </c>
      <c r="D970" t="s">
        <v>3823</v>
      </c>
    </row>
    <row r="971" spans="1:4" x14ac:dyDescent="0.3">
      <c r="A971">
        <v>995</v>
      </c>
      <c r="B971" s="13">
        <v>45932</v>
      </c>
      <c r="C971" t="s">
        <v>3814</v>
      </c>
      <c r="D971" t="s">
        <v>3825</v>
      </c>
    </row>
    <row r="972" spans="1:4" x14ac:dyDescent="0.3">
      <c r="A972">
        <v>996</v>
      </c>
      <c r="B972" s="13">
        <v>45932</v>
      </c>
      <c r="C972" t="s">
        <v>2141</v>
      </c>
      <c r="D972" t="s">
        <v>3826</v>
      </c>
    </row>
    <row r="973" spans="1:4" x14ac:dyDescent="0.3">
      <c r="A973">
        <v>997</v>
      </c>
      <c r="B973" s="13">
        <v>45933</v>
      </c>
      <c r="C973" t="s">
        <v>2141</v>
      </c>
      <c r="D973" t="s">
        <v>3832</v>
      </c>
    </row>
    <row r="974" spans="1:4" x14ac:dyDescent="0.3">
      <c r="A974">
        <v>998</v>
      </c>
      <c r="B974" s="13">
        <v>45933</v>
      </c>
      <c r="C974" t="s">
        <v>1927</v>
      </c>
      <c r="D974" t="s">
        <v>3835</v>
      </c>
    </row>
    <row r="975" spans="1:4" x14ac:dyDescent="0.3">
      <c r="A975">
        <v>999</v>
      </c>
      <c r="B975" s="13">
        <v>45933</v>
      </c>
      <c r="C975" t="s">
        <v>1927</v>
      </c>
      <c r="D975" t="s">
        <v>3836</v>
      </c>
    </row>
    <row r="976" spans="1:4" x14ac:dyDescent="0.3">
      <c r="A976">
        <v>1000</v>
      </c>
      <c r="B976" s="13">
        <v>45939</v>
      </c>
      <c r="C976" t="s">
        <v>1576</v>
      </c>
      <c r="D976" t="s">
        <v>3838</v>
      </c>
    </row>
    <row r="977" spans="1:4" x14ac:dyDescent="0.3">
      <c r="A977">
        <v>1001</v>
      </c>
      <c r="B977" s="13">
        <v>45939</v>
      </c>
      <c r="C977" t="s">
        <v>1440</v>
      </c>
      <c r="D977" t="s">
        <v>3839</v>
      </c>
    </row>
    <row r="978" spans="1:4" x14ac:dyDescent="0.3">
      <c r="A978">
        <v>1002</v>
      </c>
      <c r="B978" s="13">
        <v>45940</v>
      </c>
      <c r="C978" t="s">
        <v>1302</v>
      </c>
      <c r="D978" t="s">
        <v>3843</v>
      </c>
    </row>
    <row r="979" spans="1:4" x14ac:dyDescent="0.3">
      <c r="A979">
        <v>1003</v>
      </c>
      <c r="B979" s="13">
        <v>45940</v>
      </c>
      <c r="C979" t="s">
        <v>1743</v>
      </c>
      <c r="D979" t="s">
        <v>3849</v>
      </c>
    </row>
    <row r="980" spans="1:4" x14ac:dyDescent="0.3">
      <c r="A980">
        <v>1004</v>
      </c>
      <c r="B980" s="13">
        <v>45940</v>
      </c>
      <c r="C980" t="s">
        <v>1573</v>
      </c>
      <c r="D980" t="s">
        <v>3850</v>
      </c>
    </row>
    <row r="981" spans="1:4" x14ac:dyDescent="0.3">
      <c r="A981">
        <v>1005</v>
      </c>
      <c r="B981" s="13">
        <v>45940</v>
      </c>
      <c r="C981" t="s">
        <v>1374</v>
      </c>
      <c r="D981" t="s">
        <v>3851</v>
      </c>
    </row>
    <row r="982" spans="1:4" x14ac:dyDescent="0.3">
      <c r="A982">
        <v>1006</v>
      </c>
      <c r="B982" s="13">
        <v>45940</v>
      </c>
      <c r="C982" t="s">
        <v>1369</v>
      </c>
      <c r="D982" t="s">
        <v>3853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3854</v>
      </c>
    </row>
    <row r="984" spans="1:4" x14ac:dyDescent="0.3">
      <c r="A984">
        <v>1008</v>
      </c>
      <c r="B984" s="13">
        <v>45940</v>
      </c>
      <c r="C984" t="s">
        <v>3393</v>
      </c>
      <c r="D984" t="s">
        <v>3855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3856</v>
      </c>
    </row>
    <row r="986" spans="1:4" x14ac:dyDescent="0.3">
      <c r="A986">
        <v>1010</v>
      </c>
      <c r="B986" s="13">
        <v>45940</v>
      </c>
      <c r="C986" t="s">
        <v>2482</v>
      </c>
      <c r="D986" t="s">
        <v>3857</v>
      </c>
    </row>
    <row r="987" spans="1:4" x14ac:dyDescent="0.3">
      <c r="A987">
        <v>1011</v>
      </c>
      <c r="B987" s="13">
        <v>45940</v>
      </c>
      <c r="C987" t="s">
        <v>3811</v>
      </c>
      <c r="D987" t="s">
        <v>3858</v>
      </c>
    </row>
    <row r="988" spans="1:4" x14ac:dyDescent="0.3">
      <c r="A988">
        <v>1012</v>
      </c>
      <c r="B988" s="13">
        <v>45940</v>
      </c>
      <c r="C988" t="s">
        <v>1594</v>
      </c>
      <c r="D988" t="s">
        <v>3859</v>
      </c>
    </row>
    <row r="989" spans="1:4" x14ac:dyDescent="0.3">
      <c r="A989">
        <v>1013</v>
      </c>
      <c r="B989" s="13">
        <v>45940</v>
      </c>
      <c r="C989" t="s">
        <v>1528</v>
      </c>
      <c r="D989" t="s">
        <v>3860</v>
      </c>
    </row>
    <row r="990" spans="1:4" x14ac:dyDescent="0.3">
      <c r="A990">
        <v>1014</v>
      </c>
      <c r="B990" s="13">
        <v>45932</v>
      </c>
      <c r="C990" t="s">
        <v>1786</v>
      </c>
      <c r="D990" t="s">
        <v>3867</v>
      </c>
    </row>
    <row r="991" spans="1:4" x14ac:dyDescent="0.3">
      <c r="A991">
        <v>1015</v>
      </c>
      <c r="B991" s="13">
        <v>45940</v>
      </c>
      <c r="C991" t="s">
        <v>2482</v>
      </c>
      <c r="D991" t="s">
        <v>3868</v>
      </c>
    </row>
    <row r="992" spans="1:4" x14ac:dyDescent="0.3">
      <c r="A992">
        <v>1016</v>
      </c>
      <c r="B992" s="13">
        <v>45941</v>
      </c>
      <c r="C992" t="s">
        <v>2994</v>
      </c>
      <c r="D992" t="s">
        <v>3869</v>
      </c>
    </row>
    <row r="993" spans="1:4" x14ac:dyDescent="0.3">
      <c r="A993">
        <v>1017</v>
      </c>
      <c r="B993" s="13">
        <v>45941</v>
      </c>
      <c r="C993" t="s">
        <v>1718</v>
      </c>
      <c r="D993" t="s">
        <v>3870</v>
      </c>
    </row>
    <row r="994" spans="1:4" x14ac:dyDescent="0.3">
      <c r="A994">
        <v>1018</v>
      </c>
      <c r="B994" s="13">
        <v>45943</v>
      </c>
      <c r="C994" t="s">
        <v>1374</v>
      </c>
      <c r="D994" t="s">
        <v>3874</v>
      </c>
    </row>
    <row r="995" spans="1:4" x14ac:dyDescent="0.3">
      <c r="A995">
        <v>1019</v>
      </c>
      <c r="B995" s="13">
        <v>45943</v>
      </c>
      <c r="C995" t="s">
        <v>1395</v>
      </c>
      <c r="D995" t="s">
        <v>3876</v>
      </c>
    </row>
    <row r="996" spans="1:4" x14ac:dyDescent="0.3">
      <c r="A996">
        <v>1020</v>
      </c>
      <c r="B996" s="13">
        <v>45943</v>
      </c>
      <c r="C996" t="s">
        <v>1374</v>
      </c>
      <c r="D996" t="s">
        <v>3878</v>
      </c>
    </row>
    <row r="997" spans="1:4" x14ac:dyDescent="0.3">
      <c r="A997">
        <v>1021</v>
      </c>
      <c r="B997" s="13">
        <v>45943</v>
      </c>
      <c r="C997" t="s">
        <v>3879</v>
      </c>
      <c r="D997" t="s">
        <v>3882</v>
      </c>
    </row>
    <row r="998" spans="1:4" x14ac:dyDescent="0.3">
      <c r="A998">
        <v>1022</v>
      </c>
      <c r="B998" s="13">
        <v>45943</v>
      </c>
      <c r="C998" t="s">
        <v>1576</v>
      </c>
      <c r="D998" t="s">
        <v>3883</v>
      </c>
    </row>
    <row r="999" spans="1:4" x14ac:dyDescent="0.3">
      <c r="A999">
        <v>1023</v>
      </c>
      <c r="B999" s="13">
        <v>45943</v>
      </c>
      <c r="C999" t="s">
        <v>2614</v>
      </c>
      <c r="D999" t="s">
        <v>3884</v>
      </c>
    </row>
    <row r="1000" spans="1:4" x14ac:dyDescent="0.3">
      <c r="A1000">
        <v>1024</v>
      </c>
      <c r="B1000" s="13">
        <v>45943</v>
      </c>
      <c r="C1000" t="s">
        <v>3885</v>
      </c>
      <c r="D1000" t="s">
        <v>3886</v>
      </c>
    </row>
    <row r="1001" spans="1:4" x14ac:dyDescent="0.3">
      <c r="A1001">
        <v>1025</v>
      </c>
      <c r="B1001" s="13">
        <v>45943</v>
      </c>
      <c r="C1001" t="s">
        <v>3264</v>
      </c>
      <c r="D1001" t="s">
        <v>3887</v>
      </c>
    </row>
    <row r="1002" spans="1:4" x14ac:dyDescent="0.3">
      <c r="A1002">
        <v>1026</v>
      </c>
      <c r="B1002" s="13">
        <v>45943</v>
      </c>
      <c r="C1002" t="s">
        <v>1863</v>
      </c>
      <c r="D1002" t="s">
        <v>3899</v>
      </c>
    </row>
    <row r="1003" spans="1:4" x14ac:dyDescent="0.3">
      <c r="A1003">
        <v>1027</v>
      </c>
      <c r="B1003" s="13">
        <v>45943</v>
      </c>
      <c r="C1003" t="s">
        <v>1550</v>
      </c>
      <c r="D1003" t="s">
        <v>3900</v>
      </c>
    </row>
    <row r="1004" spans="1:4" x14ac:dyDescent="0.3">
      <c r="A1004">
        <v>1028</v>
      </c>
      <c r="B1004" s="13">
        <v>45944</v>
      </c>
      <c r="C1004" t="s">
        <v>1395</v>
      </c>
      <c r="D1004" t="s">
        <v>3901</v>
      </c>
    </row>
    <row r="1005" spans="1:4" x14ac:dyDescent="0.3">
      <c r="A1005">
        <v>1029</v>
      </c>
      <c r="B1005" s="13">
        <v>45944</v>
      </c>
      <c r="C1005" t="s">
        <v>1395</v>
      </c>
      <c r="D1005" t="s">
        <v>3903</v>
      </c>
    </row>
    <row r="1006" spans="1:4" x14ac:dyDescent="0.3">
      <c r="A1006">
        <v>1030</v>
      </c>
      <c r="B1006" s="13">
        <v>45944</v>
      </c>
      <c r="C1006" t="s">
        <v>3904</v>
      </c>
      <c r="D1006" t="s">
        <v>3907</v>
      </c>
    </row>
    <row r="1007" spans="1:4" x14ac:dyDescent="0.3">
      <c r="A1007">
        <v>1031</v>
      </c>
      <c r="B1007" s="13">
        <v>45944</v>
      </c>
      <c r="C1007" t="s">
        <v>1582</v>
      </c>
      <c r="D1007" t="s">
        <v>3908</v>
      </c>
    </row>
    <row r="1008" spans="1:4" x14ac:dyDescent="0.3">
      <c r="A1008">
        <v>1032</v>
      </c>
      <c r="B1008" s="13">
        <v>45944</v>
      </c>
      <c r="C1008" t="s">
        <v>1801</v>
      </c>
      <c r="D1008" t="s">
        <v>3909</v>
      </c>
    </row>
    <row r="1009" spans="1:4" x14ac:dyDescent="0.3">
      <c r="A1009">
        <v>1033</v>
      </c>
      <c r="B1009" s="13">
        <v>45944</v>
      </c>
      <c r="C1009" t="s">
        <v>1550</v>
      </c>
      <c r="D1009" t="s">
        <v>3910</v>
      </c>
    </row>
    <row r="1010" spans="1:4" x14ac:dyDescent="0.3">
      <c r="A1010">
        <v>1034</v>
      </c>
      <c r="B1010" s="13">
        <v>45944</v>
      </c>
      <c r="C1010" t="s">
        <v>1576</v>
      </c>
      <c r="D1010" t="s">
        <v>3911</v>
      </c>
    </row>
    <row r="1011" spans="1:4" x14ac:dyDescent="0.3">
      <c r="A1011">
        <v>1035</v>
      </c>
      <c r="B1011" s="13">
        <v>45944</v>
      </c>
      <c r="C1011" t="s">
        <v>3111</v>
      </c>
      <c r="D1011" t="s">
        <v>3913</v>
      </c>
    </row>
    <row r="1012" spans="1:4" x14ac:dyDescent="0.3">
      <c r="A1012">
        <v>1036</v>
      </c>
      <c r="B1012" s="13">
        <v>45945</v>
      </c>
      <c r="C1012" t="s">
        <v>1395</v>
      </c>
      <c r="D1012" t="s">
        <v>3916</v>
      </c>
    </row>
    <row r="1013" spans="1:4" x14ac:dyDescent="0.3">
      <c r="A1013">
        <v>1037</v>
      </c>
      <c r="B1013" s="13">
        <v>45945</v>
      </c>
      <c r="C1013" t="s">
        <v>1927</v>
      </c>
      <c r="D1013" t="s">
        <v>3917</v>
      </c>
    </row>
    <row r="1014" spans="1:4" x14ac:dyDescent="0.3">
      <c r="A1014">
        <v>1038</v>
      </c>
      <c r="B1014" s="13">
        <v>45945</v>
      </c>
      <c r="C1014" t="s">
        <v>1463</v>
      </c>
      <c r="D1014" t="s">
        <v>3919</v>
      </c>
    </row>
    <row r="1015" spans="1:4" x14ac:dyDescent="0.3">
      <c r="A1015">
        <v>1039</v>
      </c>
      <c r="B1015" s="13">
        <v>45945</v>
      </c>
      <c r="C1015" t="s">
        <v>2109</v>
      </c>
      <c r="D1015" t="s">
        <v>3920</v>
      </c>
    </row>
    <row r="1016" spans="1:4" x14ac:dyDescent="0.3">
      <c r="A1016">
        <v>1040</v>
      </c>
      <c r="B1016" s="13">
        <v>45945</v>
      </c>
      <c r="C1016" t="s">
        <v>3921</v>
      </c>
      <c r="D1016" t="s">
        <v>3925</v>
      </c>
    </row>
    <row r="1017" spans="1:4" x14ac:dyDescent="0.3">
      <c r="A1017">
        <v>1041</v>
      </c>
      <c r="B1017" s="13">
        <v>45945</v>
      </c>
      <c r="C1017" t="s">
        <v>1786</v>
      </c>
      <c r="D1017" t="s">
        <v>3926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3927</v>
      </c>
    </row>
    <row r="1019" spans="1:4" x14ac:dyDescent="0.3">
      <c r="A1019">
        <v>1043</v>
      </c>
      <c r="B1019" s="13">
        <v>45945</v>
      </c>
      <c r="C1019" t="s">
        <v>1490</v>
      </c>
      <c r="D1019" t="s">
        <v>3928</v>
      </c>
    </row>
    <row r="1020" spans="1:4" x14ac:dyDescent="0.3">
      <c r="A1020">
        <v>1044</v>
      </c>
      <c r="B1020" s="13">
        <v>45945</v>
      </c>
      <c r="C1020" t="s">
        <v>1445</v>
      </c>
      <c r="D1020" t="s">
        <v>3930</v>
      </c>
    </row>
    <row r="1021" spans="1:4" x14ac:dyDescent="0.3">
      <c r="A1021">
        <v>1045</v>
      </c>
      <c r="B1021" s="13">
        <v>45946</v>
      </c>
      <c r="C1021" t="s">
        <v>1973</v>
      </c>
      <c r="D1021" t="s">
        <v>3941</v>
      </c>
    </row>
    <row r="1022" spans="1:4" x14ac:dyDescent="0.3">
      <c r="A1022">
        <v>1046</v>
      </c>
      <c r="B1022" s="13">
        <v>45946</v>
      </c>
      <c r="C1022" t="s">
        <v>1469</v>
      </c>
      <c r="D1022" t="s">
        <v>3942</v>
      </c>
    </row>
    <row r="1023" spans="1:4" x14ac:dyDescent="0.3">
      <c r="A1023">
        <v>1047</v>
      </c>
      <c r="B1023" s="13">
        <v>45946</v>
      </c>
      <c r="C1023" t="s">
        <v>1481</v>
      </c>
      <c r="D1023" t="s">
        <v>3943</v>
      </c>
    </row>
    <row r="1024" spans="1:4" x14ac:dyDescent="0.3">
      <c r="A1024">
        <v>1048</v>
      </c>
      <c r="B1024" s="13">
        <v>45946</v>
      </c>
      <c r="C1024" t="s">
        <v>1594</v>
      </c>
      <c r="D1024" t="s">
        <v>3944</v>
      </c>
    </row>
    <row r="1025" spans="1:4" x14ac:dyDescent="0.3">
      <c r="A1025">
        <v>1049</v>
      </c>
      <c r="B1025" s="13">
        <v>45946</v>
      </c>
      <c r="C1025" t="s">
        <v>3935</v>
      </c>
      <c r="D1025" t="s">
        <v>3945</v>
      </c>
    </row>
    <row r="1026" spans="1:4" x14ac:dyDescent="0.3">
      <c r="A1026">
        <v>1050</v>
      </c>
      <c r="B1026" s="13">
        <v>45946</v>
      </c>
      <c r="C1026" t="s">
        <v>3811</v>
      </c>
      <c r="D1026" t="s">
        <v>3946</v>
      </c>
    </row>
    <row r="1027" spans="1:4" x14ac:dyDescent="0.3">
      <c r="A1027">
        <v>1051</v>
      </c>
      <c r="B1027" s="13">
        <v>45946</v>
      </c>
      <c r="C1027" t="s">
        <v>1786</v>
      </c>
      <c r="D1027" t="s">
        <v>3948</v>
      </c>
    </row>
    <row r="1028" spans="1:4" x14ac:dyDescent="0.3">
      <c r="A1028">
        <v>1052</v>
      </c>
      <c r="B1028" s="13">
        <v>45947</v>
      </c>
      <c r="C1028" t="s">
        <v>1465</v>
      </c>
      <c r="D1028" t="s">
        <v>3953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3955</v>
      </c>
    </row>
    <row r="1030" spans="1:4" x14ac:dyDescent="0.3">
      <c r="A1030">
        <v>1054</v>
      </c>
      <c r="B1030" s="13">
        <v>45948</v>
      </c>
      <c r="C1030" t="s">
        <v>1786</v>
      </c>
      <c r="D1030" t="s">
        <v>3957</v>
      </c>
    </row>
    <row r="1031" spans="1:4" x14ac:dyDescent="0.3">
      <c r="A1031">
        <v>1055</v>
      </c>
      <c r="B1031" s="13">
        <v>45948</v>
      </c>
      <c r="C1031" t="s">
        <v>1973</v>
      </c>
      <c r="D1031" t="s">
        <v>3958</v>
      </c>
    </row>
    <row r="1032" spans="1:4" x14ac:dyDescent="0.3">
      <c r="A1032">
        <v>1056</v>
      </c>
      <c r="B1032" s="13">
        <v>45950</v>
      </c>
      <c r="C1032" t="s">
        <v>1866</v>
      </c>
      <c r="D1032" t="s">
        <v>3959</v>
      </c>
    </row>
    <row r="1033" spans="1:4" x14ac:dyDescent="0.3">
      <c r="A1033">
        <v>1057</v>
      </c>
      <c r="B1033" s="13">
        <v>45950</v>
      </c>
      <c r="C1033" t="s">
        <v>3960</v>
      </c>
      <c r="D1033" t="s">
        <v>3963</v>
      </c>
    </row>
    <row r="1034" spans="1:4" x14ac:dyDescent="0.3">
      <c r="A1034">
        <v>1058</v>
      </c>
      <c r="B1034" s="13">
        <v>45950</v>
      </c>
      <c r="C1034" t="s">
        <v>2606</v>
      </c>
      <c r="D1034" t="s">
        <v>3964</v>
      </c>
    </row>
    <row r="1035" spans="1:4" x14ac:dyDescent="0.3">
      <c r="A1035">
        <v>1059</v>
      </c>
      <c r="B1035" s="13">
        <v>45950</v>
      </c>
      <c r="C1035" t="s">
        <v>1576</v>
      </c>
      <c r="D1035" t="s">
        <v>3966</v>
      </c>
    </row>
    <row r="1036" spans="1:4" x14ac:dyDescent="0.3">
      <c r="A1036">
        <v>1060</v>
      </c>
      <c r="B1036" s="13">
        <v>45950</v>
      </c>
      <c r="C1036" t="s">
        <v>2406</v>
      </c>
      <c r="D1036" t="s">
        <v>3967</v>
      </c>
    </row>
    <row r="1037" spans="1:4" x14ac:dyDescent="0.3">
      <c r="A1037">
        <v>1061</v>
      </c>
      <c r="B1037" s="13">
        <v>45950</v>
      </c>
      <c r="C1037" t="s">
        <v>3969</v>
      </c>
      <c r="D1037" t="s">
        <v>3970</v>
      </c>
    </row>
    <row r="1038" spans="1:4" x14ac:dyDescent="0.3">
      <c r="A1038">
        <v>1062</v>
      </c>
      <c r="B1038" s="13">
        <v>45950</v>
      </c>
      <c r="C1038" t="s">
        <v>1395</v>
      </c>
      <c r="D1038" t="s">
        <v>3971</v>
      </c>
    </row>
    <row r="1039" spans="1:4" x14ac:dyDescent="0.3">
      <c r="A1039">
        <v>1063</v>
      </c>
      <c r="B1039" s="13">
        <v>45951</v>
      </c>
      <c r="C1039" t="s">
        <v>1469</v>
      </c>
      <c r="D1039" t="s">
        <v>3973</v>
      </c>
    </row>
    <row r="1040" spans="1:4" x14ac:dyDescent="0.3">
      <c r="A1040">
        <v>1064</v>
      </c>
      <c r="B1040" s="13">
        <v>45951</v>
      </c>
      <c r="C1040" t="s">
        <v>3393</v>
      </c>
      <c r="D1040" t="s">
        <v>3974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3975</v>
      </c>
    </row>
    <row r="1042" spans="1:4" x14ac:dyDescent="0.3">
      <c r="A1042">
        <v>1066</v>
      </c>
      <c r="B1042" s="13">
        <v>45951</v>
      </c>
      <c r="C1042" t="s">
        <v>3197</v>
      </c>
      <c r="D1042" t="s">
        <v>3977</v>
      </c>
    </row>
    <row r="1043" spans="1:4" x14ac:dyDescent="0.3">
      <c r="A1043">
        <v>1067</v>
      </c>
      <c r="B1043" s="13">
        <v>45951</v>
      </c>
      <c r="C1043" t="s">
        <v>1743</v>
      </c>
      <c r="D1043" t="s">
        <v>3980</v>
      </c>
    </row>
    <row r="1044" spans="1:4" x14ac:dyDescent="0.3">
      <c r="A1044">
        <v>1068</v>
      </c>
      <c r="B1044" s="13">
        <v>45951</v>
      </c>
      <c r="C1044" t="s">
        <v>1743</v>
      </c>
      <c r="D1044" t="s">
        <v>3981</v>
      </c>
    </row>
    <row r="1045" spans="1:4" x14ac:dyDescent="0.3">
      <c r="A1045">
        <v>1069</v>
      </c>
      <c r="B1045" s="13">
        <v>45951</v>
      </c>
      <c r="C1045" t="s">
        <v>1445</v>
      </c>
      <c r="D1045" t="s">
        <v>3982</v>
      </c>
    </row>
    <row r="1046" spans="1:4" x14ac:dyDescent="0.3">
      <c r="A1046">
        <v>1070</v>
      </c>
      <c r="B1046" s="13">
        <v>45951</v>
      </c>
      <c r="C1046" t="s">
        <v>3921</v>
      </c>
      <c r="D1046" t="s">
        <v>3983</v>
      </c>
    </row>
    <row r="1047" spans="1:4" x14ac:dyDescent="0.3">
      <c r="A1047">
        <v>1071</v>
      </c>
      <c r="B1047" s="13">
        <v>45951</v>
      </c>
      <c r="C1047" t="s">
        <v>1395</v>
      </c>
      <c r="D1047" t="s">
        <v>3987</v>
      </c>
    </row>
    <row r="1048" spans="1:4" x14ac:dyDescent="0.3">
      <c r="A1048">
        <v>1072</v>
      </c>
      <c r="B1048" s="13">
        <v>45951</v>
      </c>
      <c r="C1048" t="s">
        <v>1863</v>
      </c>
      <c r="D1048" t="s">
        <v>3988</v>
      </c>
    </row>
    <row r="1049" spans="1:4" x14ac:dyDescent="0.3">
      <c r="A1049">
        <v>1073</v>
      </c>
      <c r="B1049" s="13">
        <v>45951</v>
      </c>
      <c r="C1049" t="s">
        <v>3989</v>
      </c>
      <c r="D1049" t="s">
        <v>3990</v>
      </c>
    </row>
    <row r="1050" spans="1:4" x14ac:dyDescent="0.3">
      <c r="A1050">
        <v>1074</v>
      </c>
      <c r="B1050" s="13">
        <v>45952</v>
      </c>
      <c r="C1050" t="s">
        <v>3991</v>
      </c>
      <c r="D1050" t="s">
        <v>3997</v>
      </c>
    </row>
    <row r="1051" spans="1:4" x14ac:dyDescent="0.3">
      <c r="A1051">
        <v>1075</v>
      </c>
      <c r="B1051" s="13">
        <v>45952</v>
      </c>
      <c r="C1051" t="s">
        <v>1537</v>
      </c>
      <c r="D1051" t="s">
        <v>3998</v>
      </c>
    </row>
    <row r="1052" spans="1:4" x14ac:dyDescent="0.3">
      <c r="A1052">
        <v>1076</v>
      </c>
      <c r="B1052" s="13">
        <v>45952</v>
      </c>
      <c r="C1052" t="s">
        <v>2554</v>
      </c>
      <c r="D1052" t="s">
        <v>3999</v>
      </c>
    </row>
    <row r="1053" spans="1:4" x14ac:dyDescent="0.3">
      <c r="A1053">
        <v>1077</v>
      </c>
      <c r="B1053" s="13">
        <v>45952</v>
      </c>
      <c r="C1053" t="s">
        <v>3147</v>
      </c>
      <c r="D1053" t="s">
        <v>4000</v>
      </c>
    </row>
    <row r="1054" spans="1:4" x14ac:dyDescent="0.3">
      <c r="A1054">
        <v>1078</v>
      </c>
      <c r="B1054" s="13">
        <v>45952</v>
      </c>
      <c r="C1054" t="s">
        <v>1718</v>
      </c>
      <c r="D1054" t="s">
        <v>4002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4003</v>
      </c>
    </row>
    <row r="1056" spans="1:4" x14ac:dyDescent="0.3">
      <c r="A1056">
        <v>1080</v>
      </c>
      <c r="B1056" s="13">
        <v>45952</v>
      </c>
      <c r="C1056" t="s">
        <v>1463</v>
      </c>
      <c r="D1056" t="s">
        <v>4006</v>
      </c>
    </row>
    <row r="1057" spans="1:4" x14ac:dyDescent="0.3">
      <c r="A1057">
        <v>1081</v>
      </c>
      <c r="B1057" s="13">
        <v>45952</v>
      </c>
      <c r="C1057" t="s">
        <v>2406</v>
      </c>
      <c r="D1057" t="s">
        <v>4007</v>
      </c>
    </row>
    <row r="1058" spans="1:4" x14ac:dyDescent="0.3">
      <c r="A1058">
        <v>1082</v>
      </c>
      <c r="B1058" s="13">
        <v>45952</v>
      </c>
      <c r="C1058" t="s">
        <v>1573</v>
      </c>
      <c r="D1058" t="s">
        <v>4008</v>
      </c>
    </row>
    <row r="1059" spans="1:4" x14ac:dyDescent="0.3">
      <c r="A1059">
        <v>1083</v>
      </c>
      <c r="B1059" s="13">
        <v>45952</v>
      </c>
      <c r="C1059" t="s">
        <v>1866</v>
      </c>
      <c r="D1059" t="s">
        <v>4009</v>
      </c>
    </row>
    <row r="1060" spans="1:4" x14ac:dyDescent="0.3">
      <c r="A1060">
        <v>1084</v>
      </c>
      <c r="B1060" s="13">
        <v>45953</v>
      </c>
      <c r="C1060" t="s">
        <v>1395</v>
      </c>
      <c r="D1060" t="s">
        <v>4010</v>
      </c>
    </row>
    <row r="1061" spans="1:4" x14ac:dyDescent="0.3">
      <c r="A1061">
        <v>1085</v>
      </c>
      <c r="B1061" s="13">
        <v>45953</v>
      </c>
      <c r="C1061" t="s">
        <v>1594</v>
      </c>
      <c r="D1061" t="s">
        <v>4011</v>
      </c>
    </row>
    <row r="1062" spans="1:4" x14ac:dyDescent="0.3">
      <c r="A1062">
        <v>1086</v>
      </c>
      <c r="B1062" s="13">
        <v>45953</v>
      </c>
      <c r="C1062" t="s">
        <v>1440</v>
      </c>
      <c r="D1062" t="s">
        <v>4012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4014</v>
      </c>
    </row>
    <row r="1064" spans="1:4" x14ac:dyDescent="0.3">
      <c r="A1064">
        <v>1088</v>
      </c>
      <c r="B1064" s="13">
        <v>45953</v>
      </c>
      <c r="C1064" t="s">
        <v>1573</v>
      </c>
      <c r="D1064" t="s">
        <v>4015</v>
      </c>
    </row>
    <row r="1065" spans="1:4" x14ac:dyDescent="0.3">
      <c r="A1065">
        <v>1089</v>
      </c>
      <c r="B1065" s="13">
        <v>45953</v>
      </c>
      <c r="C1065" t="s">
        <v>1395</v>
      </c>
      <c r="D1065" t="s">
        <v>4024</v>
      </c>
    </row>
    <row r="1066" spans="1:4" x14ac:dyDescent="0.3">
      <c r="A1066">
        <v>1090</v>
      </c>
      <c r="B1066" s="13">
        <v>45954</v>
      </c>
      <c r="C1066" t="s">
        <v>2700</v>
      </c>
      <c r="D1066" t="s">
        <v>4030</v>
      </c>
    </row>
    <row r="1067" spans="1:4" x14ac:dyDescent="0.3">
      <c r="A1067">
        <v>1091</v>
      </c>
      <c r="B1067" s="13">
        <v>45954</v>
      </c>
      <c r="C1067" t="s">
        <v>1490</v>
      </c>
      <c r="D1067" t="s">
        <v>4031</v>
      </c>
    </row>
    <row r="1068" spans="1:4" x14ac:dyDescent="0.3">
      <c r="A1068">
        <v>1092</v>
      </c>
      <c r="B1068" s="13">
        <v>45954</v>
      </c>
      <c r="C1068" t="s">
        <v>1395</v>
      </c>
      <c r="D1068" t="s">
        <v>4032</v>
      </c>
    </row>
    <row r="1069" spans="1:4" x14ac:dyDescent="0.3">
      <c r="A1069">
        <v>1093</v>
      </c>
      <c r="B1069" s="13">
        <v>45955</v>
      </c>
      <c r="C1069" t="s">
        <v>1395</v>
      </c>
      <c r="D1069" t="s">
        <v>4033</v>
      </c>
    </row>
    <row r="1070" spans="1:4" x14ac:dyDescent="0.3">
      <c r="A1070">
        <v>1094</v>
      </c>
      <c r="B1070" s="13">
        <v>45955</v>
      </c>
      <c r="C1070" t="s">
        <v>4034</v>
      </c>
      <c r="D1070" t="s">
        <v>4038</v>
      </c>
    </row>
    <row r="1071" spans="1:4" x14ac:dyDescent="0.3">
      <c r="A1071">
        <v>1095</v>
      </c>
      <c r="B1071" s="13">
        <v>45955</v>
      </c>
      <c r="C1071" t="s">
        <v>2779</v>
      </c>
      <c r="D1071" t="s">
        <v>4039</v>
      </c>
    </row>
    <row r="1072" spans="1:4" x14ac:dyDescent="0.3">
      <c r="A1072">
        <v>1096</v>
      </c>
      <c r="B1072" s="13">
        <v>45955</v>
      </c>
      <c r="C1072" t="s">
        <v>1433</v>
      </c>
      <c r="D1072" t="s">
        <v>4040</v>
      </c>
    </row>
    <row r="1073" spans="1:4" x14ac:dyDescent="0.3">
      <c r="A1073">
        <v>1097</v>
      </c>
      <c r="B1073" s="13">
        <v>45955</v>
      </c>
      <c r="C1073" t="s">
        <v>1582</v>
      </c>
      <c r="D1073" t="s">
        <v>4041</v>
      </c>
    </row>
    <row r="1074" spans="1:4" x14ac:dyDescent="0.3">
      <c r="A1074">
        <v>1098</v>
      </c>
      <c r="B1074" s="13">
        <v>45955</v>
      </c>
      <c r="C1074" t="s">
        <v>1537</v>
      </c>
      <c r="D1074" t="s">
        <v>4045</v>
      </c>
    </row>
    <row r="1075" spans="1:4" x14ac:dyDescent="0.3">
      <c r="A1075">
        <v>1099</v>
      </c>
      <c r="B1075" s="13">
        <v>45957</v>
      </c>
      <c r="C1075" t="s">
        <v>1573</v>
      </c>
      <c r="D1075" t="s">
        <v>4060</v>
      </c>
    </row>
    <row r="1076" spans="1:4" x14ac:dyDescent="0.3">
      <c r="A1076">
        <v>1100</v>
      </c>
      <c r="B1076" s="13">
        <v>45957</v>
      </c>
      <c r="C1076" t="s">
        <v>4055</v>
      </c>
      <c r="D1076" t="s">
        <v>4061</v>
      </c>
    </row>
    <row r="1077" spans="1:4" x14ac:dyDescent="0.3">
      <c r="A1077">
        <v>1101</v>
      </c>
      <c r="B1077" s="13">
        <v>45957</v>
      </c>
      <c r="C1077" t="s">
        <v>1743</v>
      </c>
      <c r="D1077" t="s">
        <v>4062</v>
      </c>
    </row>
    <row r="1078" spans="1:4" x14ac:dyDescent="0.3">
      <c r="A1078">
        <v>1102</v>
      </c>
      <c r="B1078" s="13">
        <v>45957</v>
      </c>
      <c r="C1078" t="s">
        <v>4051</v>
      </c>
      <c r="D1078" t="s">
        <v>4063</v>
      </c>
    </row>
    <row r="1079" spans="1:4" x14ac:dyDescent="0.3">
      <c r="A1079">
        <v>1103</v>
      </c>
      <c r="B1079" s="13">
        <v>45957</v>
      </c>
      <c r="C1079" t="s">
        <v>1395</v>
      </c>
      <c r="D1079" t="s">
        <v>4064</v>
      </c>
    </row>
    <row r="1080" spans="1:4" x14ac:dyDescent="0.3">
      <c r="A1080">
        <v>1104</v>
      </c>
      <c r="B1080" s="13">
        <v>45957</v>
      </c>
      <c r="C1080" t="s">
        <v>1576</v>
      </c>
      <c r="D1080" t="s">
        <v>4065</v>
      </c>
    </row>
    <row r="1081" spans="1:4" x14ac:dyDescent="0.3">
      <c r="A1081">
        <v>1105</v>
      </c>
      <c r="B1081" s="13">
        <v>45957</v>
      </c>
      <c r="C1081" t="s">
        <v>1395</v>
      </c>
      <c r="D1081" t="s">
        <v>4075</v>
      </c>
    </row>
    <row r="1082" spans="1:4" x14ac:dyDescent="0.3">
      <c r="A1082">
        <v>1106</v>
      </c>
      <c r="B1082" s="13">
        <v>45957</v>
      </c>
      <c r="C1082" t="s">
        <v>1927</v>
      </c>
      <c r="D1082" t="s">
        <v>4076</v>
      </c>
    </row>
    <row r="1083" spans="1:4" x14ac:dyDescent="0.3">
      <c r="A1083">
        <v>1107</v>
      </c>
      <c r="B1083" s="13">
        <v>45958</v>
      </c>
      <c r="C1083" t="s">
        <v>1890</v>
      </c>
      <c r="D1083" t="s">
        <v>4086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4087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4088</v>
      </c>
    </row>
    <row r="1086" spans="1:4" x14ac:dyDescent="0.3">
      <c r="A1086">
        <v>1110</v>
      </c>
      <c r="B1086" s="13">
        <v>45958</v>
      </c>
      <c r="C1086" t="s">
        <v>1743</v>
      </c>
      <c r="D1086" t="s">
        <v>4089</v>
      </c>
    </row>
    <row r="1087" spans="1:4" x14ac:dyDescent="0.3">
      <c r="A1087">
        <v>1111</v>
      </c>
      <c r="B1087" s="13">
        <v>45958</v>
      </c>
      <c r="C1087" t="s">
        <v>1395</v>
      </c>
      <c r="D1087" t="s">
        <v>4090</v>
      </c>
    </row>
    <row r="1088" spans="1:4" x14ac:dyDescent="0.3">
      <c r="A1088">
        <v>1112</v>
      </c>
      <c r="B1088" s="13">
        <v>45958</v>
      </c>
      <c r="C1088" t="s">
        <v>4080</v>
      </c>
      <c r="D1088" t="s">
        <v>4091</v>
      </c>
    </row>
    <row r="1089" spans="1:4" x14ac:dyDescent="0.3">
      <c r="A1089">
        <v>1113</v>
      </c>
      <c r="B1089" s="13">
        <v>45958</v>
      </c>
      <c r="C1089" t="s">
        <v>1667</v>
      </c>
      <c r="D1089" t="s">
        <v>4092</v>
      </c>
    </row>
    <row r="1090" spans="1:4" x14ac:dyDescent="0.3">
      <c r="A1090">
        <v>1114</v>
      </c>
      <c r="B1090" s="13">
        <v>45959</v>
      </c>
      <c r="C1090" t="s">
        <v>1395</v>
      </c>
      <c r="D1090" t="s">
        <v>4102</v>
      </c>
    </row>
    <row r="1091" spans="1:4" x14ac:dyDescent="0.3">
      <c r="A1091">
        <v>1115</v>
      </c>
      <c r="B1091" s="13">
        <v>45959</v>
      </c>
      <c r="C1091" t="s">
        <v>3145</v>
      </c>
      <c r="D1091" t="s">
        <v>4103</v>
      </c>
    </row>
    <row r="1092" spans="1:4" x14ac:dyDescent="0.3">
      <c r="A1092">
        <v>1116</v>
      </c>
      <c r="B1092" s="13">
        <v>45959</v>
      </c>
      <c r="C1092" t="s">
        <v>4099</v>
      </c>
      <c r="D1092" t="s">
        <v>4105</v>
      </c>
    </row>
    <row r="1093" spans="1:4" x14ac:dyDescent="0.3">
      <c r="A1093">
        <v>1117</v>
      </c>
      <c r="B1093" s="13">
        <v>45959</v>
      </c>
      <c r="C1093" t="s">
        <v>1808</v>
      </c>
      <c r="D1093" t="s">
        <v>4106</v>
      </c>
    </row>
    <row r="1094" spans="1:4" x14ac:dyDescent="0.3">
      <c r="A1094">
        <v>1118</v>
      </c>
      <c r="B1094" s="13">
        <v>45959</v>
      </c>
      <c r="C1094" t="s">
        <v>4034</v>
      </c>
      <c r="D1094" t="s">
        <v>4107</v>
      </c>
    </row>
    <row r="1095" spans="1:4" x14ac:dyDescent="0.3">
      <c r="A1095">
        <v>1119</v>
      </c>
      <c r="B1095" s="13">
        <v>45959</v>
      </c>
      <c r="C1095" t="s">
        <v>1743</v>
      </c>
      <c r="D1095" t="s">
        <v>4108</v>
      </c>
    </row>
    <row r="1096" spans="1:4" x14ac:dyDescent="0.3">
      <c r="A1096">
        <v>1120</v>
      </c>
      <c r="B1096" s="13">
        <v>45959</v>
      </c>
      <c r="C1096" t="s">
        <v>1445</v>
      </c>
      <c r="D1096" t="s">
        <v>4109</v>
      </c>
    </row>
    <row r="1097" spans="1:4" x14ac:dyDescent="0.3">
      <c r="A1097">
        <v>1121</v>
      </c>
      <c r="B1097" s="13">
        <v>45960</v>
      </c>
      <c r="C1097" t="s">
        <v>1576</v>
      </c>
      <c r="D1097" t="s">
        <v>4117</v>
      </c>
    </row>
    <row r="1098" spans="1:4" x14ac:dyDescent="0.3">
      <c r="A1098">
        <v>1122</v>
      </c>
      <c r="B1098" s="13">
        <v>45960</v>
      </c>
      <c r="C1098" t="s">
        <v>1469</v>
      </c>
      <c r="D1098" t="s">
        <v>4118</v>
      </c>
    </row>
    <row r="1099" spans="1:4" x14ac:dyDescent="0.3">
      <c r="A1099">
        <v>1123</v>
      </c>
      <c r="B1099" s="13">
        <v>45960</v>
      </c>
      <c r="C1099" t="s">
        <v>2960</v>
      </c>
      <c r="D1099" t="s">
        <v>4121</v>
      </c>
    </row>
    <row r="1100" spans="1:4" x14ac:dyDescent="0.3">
      <c r="A1100">
        <v>1124</v>
      </c>
      <c r="B1100" s="13">
        <v>45960</v>
      </c>
      <c r="C1100" t="s">
        <v>3197</v>
      </c>
      <c r="D1100" t="s">
        <v>4122</v>
      </c>
    </row>
    <row r="1101" spans="1:4" x14ac:dyDescent="0.3">
      <c r="A1101">
        <v>1125</v>
      </c>
      <c r="B1101" s="13">
        <v>45960</v>
      </c>
      <c r="C1101" t="s">
        <v>1743</v>
      </c>
      <c r="D1101" t="s">
        <v>4123</v>
      </c>
    </row>
    <row r="1102" spans="1:4" x14ac:dyDescent="0.3">
      <c r="A1102">
        <v>1126</v>
      </c>
      <c r="B1102" s="13">
        <v>45960</v>
      </c>
      <c r="C1102" t="s">
        <v>1573</v>
      </c>
      <c r="D1102" t="s">
        <v>4125</v>
      </c>
    </row>
    <row r="1103" spans="1:4" x14ac:dyDescent="0.3">
      <c r="A1103">
        <v>1127</v>
      </c>
      <c r="B1103" s="13">
        <v>45960</v>
      </c>
      <c r="C1103" t="s">
        <v>1973</v>
      </c>
      <c r="D1103" t="s">
        <v>4126</v>
      </c>
    </row>
    <row r="1104" spans="1:4" x14ac:dyDescent="0.3">
      <c r="A1104">
        <v>1128</v>
      </c>
      <c r="B1104" s="13">
        <v>45960</v>
      </c>
      <c r="C1104" t="s">
        <v>4055</v>
      </c>
      <c r="D1104" t="s">
        <v>4127</v>
      </c>
    </row>
    <row r="1105" spans="1:4" x14ac:dyDescent="0.3">
      <c r="A1105">
        <v>1129</v>
      </c>
      <c r="B1105" s="13">
        <v>45960</v>
      </c>
      <c r="C1105" t="s">
        <v>1302</v>
      </c>
      <c r="D1105" t="s">
        <v>4128</v>
      </c>
    </row>
    <row r="1106" spans="1:4" x14ac:dyDescent="0.3">
      <c r="A1106">
        <v>1130</v>
      </c>
      <c r="B1106" s="13">
        <v>45960</v>
      </c>
      <c r="C1106" t="s">
        <v>2700</v>
      </c>
      <c r="D1106" t="s">
        <v>4129</v>
      </c>
    </row>
    <row r="1107" spans="1:4" x14ac:dyDescent="0.3">
      <c r="A1107">
        <v>1131</v>
      </c>
      <c r="B1107" s="13">
        <v>45960</v>
      </c>
      <c r="C1107" t="s">
        <v>1667</v>
      </c>
      <c r="D1107" t="s">
        <v>4130</v>
      </c>
    </row>
    <row r="1108" spans="1:4" x14ac:dyDescent="0.3">
      <c r="A1108">
        <v>1132</v>
      </c>
      <c r="B1108" s="13">
        <v>45960</v>
      </c>
      <c r="C1108" t="s">
        <v>1743</v>
      </c>
      <c r="D1108" t="s">
        <v>4131</v>
      </c>
    </row>
    <row r="1109" spans="1:4" x14ac:dyDescent="0.3">
      <c r="A1109">
        <v>1133</v>
      </c>
      <c r="B1109" s="13">
        <v>45961</v>
      </c>
      <c r="C1109" t="s">
        <v>1469</v>
      </c>
      <c r="D1109" t="s">
        <v>4157</v>
      </c>
    </row>
    <row r="1110" spans="1:4" x14ac:dyDescent="0.3">
      <c r="A1110">
        <v>1134</v>
      </c>
      <c r="B1110" s="13">
        <v>45961</v>
      </c>
      <c r="C1110" t="s">
        <v>4158</v>
      </c>
      <c r="D1110" t="s">
        <v>4161</v>
      </c>
    </row>
    <row r="1111" spans="1:4" x14ac:dyDescent="0.3">
      <c r="A1111">
        <v>1135</v>
      </c>
      <c r="B1111" s="13">
        <v>45961</v>
      </c>
      <c r="C1111" t="s">
        <v>2254</v>
      </c>
      <c r="D1111" t="s">
        <v>4162</v>
      </c>
    </row>
    <row r="1112" spans="1:4" x14ac:dyDescent="0.3">
      <c r="A1112">
        <v>1136</v>
      </c>
      <c r="B1112" s="13">
        <v>45961</v>
      </c>
      <c r="C1112" t="s">
        <v>1718</v>
      </c>
      <c r="D1112" t="s">
        <v>4163</v>
      </c>
    </row>
    <row r="1113" spans="1:4" x14ac:dyDescent="0.3">
      <c r="A1113">
        <v>1137</v>
      </c>
      <c r="B1113" s="13">
        <v>45961</v>
      </c>
      <c r="C1113" t="s">
        <v>1743</v>
      </c>
      <c r="D1113" t="s">
        <v>4164</v>
      </c>
    </row>
    <row r="1114" spans="1:4" x14ac:dyDescent="0.3">
      <c r="A1114">
        <v>1138</v>
      </c>
      <c r="B1114" s="13">
        <v>45961</v>
      </c>
      <c r="C1114" t="s">
        <v>1537</v>
      </c>
      <c r="D1114" t="s">
        <v>4165</v>
      </c>
    </row>
    <row r="1115" spans="1:4" x14ac:dyDescent="0.3">
      <c r="A1115">
        <v>1139</v>
      </c>
      <c r="B1115" s="13">
        <v>45961</v>
      </c>
      <c r="C1115" t="s">
        <v>1576</v>
      </c>
      <c r="D1115" t="s">
        <v>4167</v>
      </c>
    </row>
    <row r="1116" spans="1:4" x14ac:dyDescent="0.3">
      <c r="A1116">
        <v>1140</v>
      </c>
      <c r="B1116" t="s">
        <v>4175</v>
      </c>
      <c r="C1116" t="s">
        <v>1718</v>
      </c>
      <c r="D1116" t="s">
        <v>4176</v>
      </c>
    </row>
    <row r="1117" spans="1:4" x14ac:dyDescent="0.3">
      <c r="A1117">
        <v>1141</v>
      </c>
      <c r="B1117" s="13">
        <v>45964</v>
      </c>
      <c r="C1117" t="s">
        <v>1801</v>
      </c>
      <c r="D1117" t="s">
        <v>4179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4181</v>
      </c>
    </row>
    <row r="1120" spans="1:4" x14ac:dyDescent="0.3">
      <c r="A1120">
        <v>1144</v>
      </c>
      <c r="B1120" s="13">
        <v>45964</v>
      </c>
      <c r="C1120" t="s">
        <v>1440</v>
      </c>
      <c r="D1120" t="s">
        <v>4182</v>
      </c>
    </row>
    <row r="1121" spans="1:4" x14ac:dyDescent="0.3">
      <c r="A1121">
        <v>1145</v>
      </c>
      <c r="B1121" s="13">
        <v>45964</v>
      </c>
      <c r="C1121" t="s">
        <v>1391</v>
      </c>
      <c r="D1121" t="s">
        <v>4183</v>
      </c>
    </row>
    <row r="1122" spans="1:4" x14ac:dyDescent="0.3">
      <c r="A1122">
        <v>1146</v>
      </c>
      <c r="B1122" s="13">
        <v>45964</v>
      </c>
      <c r="C1122" t="s">
        <v>1395</v>
      </c>
      <c r="D1122" t="s">
        <v>4184</v>
      </c>
    </row>
    <row r="1123" spans="1:4" x14ac:dyDescent="0.3">
      <c r="A1123">
        <v>1147</v>
      </c>
      <c r="B1123" s="13">
        <v>45965</v>
      </c>
      <c r="C1123" t="s">
        <v>2254</v>
      </c>
      <c r="D1123" t="s">
        <v>4190</v>
      </c>
    </row>
    <row r="1124" spans="1:4" x14ac:dyDescent="0.3">
      <c r="A1124">
        <v>1148</v>
      </c>
      <c r="B1124" s="13">
        <v>45965</v>
      </c>
      <c r="C1124" t="s">
        <v>2463</v>
      </c>
      <c r="D1124" t="s">
        <v>4193</v>
      </c>
    </row>
    <row r="1125" spans="1:4" x14ac:dyDescent="0.3">
      <c r="A1125">
        <v>1149</v>
      </c>
      <c r="B1125" s="13">
        <v>45965</v>
      </c>
      <c r="C1125" t="s">
        <v>1440</v>
      </c>
      <c r="D1125" t="s">
        <v>4194</v>
      </c>
    </row>
    <row r="1126" spans="1:4" x14ac:dyDescent="0.3">
      <c r="A1126">
        <v>1150</v>
      </c>
      <c r="B1126" s="13">
        <v>45965</v>
      </c>
      <c r="C1126" t="s">
        <v>3969</v>
      </c>
      <c r="D1126" t="s">
        <v>4195</v>
      </c>
    </row>
    <row r="1127" spans="1:4" x14ac:dyDescent="0.3">
      <c r="A1127">
        <v>1151</v>
      </c>
      <c r="B1127" s="13">
        <v>45965</v>
      </c>
      <c r="C1127" t="s">
        <v>1537</v>
      </c>
      <c r="D1127" t="s">
        <v>4196</v>
      </c>
    </row>
    <row r="1128" spans="1:4" x14ac:dyDescent="0.3">
      <c r="A1128">
        <v>1152</v>
      </c>
      <c r="B1128" s="13">
        <v>45965</v>
      </c>
      <c r="C1128" t="s">
        <v>1927</v>
      </c>
      <c r="D1128" t="s">
        <v>4198</v>
      </c>
    </row>
    <row r="1129" spans="1:4" x14ac:dyDescent="0.3">
      <c r="A1129">
        <v>1153</v>
      </c>
      <c r="B1129" s="13">
        <v>45966</v>
      </c>
      <c r="C1129" t="s">
        <v>4209</v>
      </c>
      <c r="D1129" t="s">
        <v>4213</v>
      </c>
    </row>
    <row r="1130" spans="1:4" x14ac:dyDescent="0.3">
      <c r="A1130">
        <v>1154</v>
      </c>
      <c r="B1130" s="13">
        <v>45966</v>
      </c>
      <c r="C1130" t="s">
        <v>1576</v>
      </c>
      <c r="D1130" t="s">
        <v>4214</v>
      </c>
    </row>
    <row r="1131" spans="1:4" x14ac:dyDescent="0.3">
      <c r="A1131">
        <v>1155</v>
      </c>
      <c r="B1131" s="13">
        <v>45966</v>
      </c>
      <c r="C1131" t="s">
        <v>1302</v>
      </c>
      <c r="D1131" t="s">
        <v>4217</v>
      </c>
    </row>
    <row r="1132" spans="1:4" x14ac:dyDescent="0.3">
      <c r="A1132">
        <v>1156</v>
      </c>
      <c r="B1132" s="13">
        <v>45966</v>
      </c>
      <c r="C1132" t="s">
        <v>1718</v>
      </c>
      <c r="D1132" t="s">
        <v>4218</v>
      </c>
    </row>
    <row r="1133" spans="1:4" x14ac:dyDescent="0.3">
      <c r="A1133">
        <v>1157</v>
      </c>
      <c r="B1133" s="13">
        <v>45966</v>
      </c>
      <c r="C1133" t="s">
        <v>2865</v>
      </c>
      <c r="D1133" t="s">
        <v>4219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4220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4221</v>
      </c>
    </row>
    <row r="1136" spans="1:4" x14ac:dyDescent="0.3">
      <c r="A1136">
        <v>1160</v>
      </c>
      <c r="B1136" s="13">
        <v>45967</v>
      </c>
      <c r="C1136" t="s">
        <v>1718</v>
      </c>
      <c r="D1136" t="s">
        <v>4229</v>
      </c>
    </row>
    <row r="1137" spans="1:4" x14ac:dyDescent="0.3">
      <c r="A1137">
        <v>1161</v>
      </c>
      <c r="B1137" s="13">
        <v>45967</v>
      </c>
      <c r="C1137" t="s">
        <v>1667</v>
      </c>
      <c r="D1137" t="s">
        <v>4230</v>
      </c>
    </row>
    <row r="1138" spans="1:4" x14ac:dyDescent="0.3">
      <c r="A1138">
        <v>1162</v>
      </c>
      <c r="B1138" s="13">
        <v>45967</v>
      </c>
      <c r="C1138" t="s">
        <v>2011</v>
      </c>
      <c r="D1138" t="s">
        <v>4232</v>
      </c>
    </row>
    <row r="1139" spans="1:4" x14ac:dyDescent="0.3">
      <c r="A1139">
        <v>1163</v>
      </c>
      <c r="B1139" s="13">
        <v>45967</v>
      </c>
      <c r="C1139" t="s">
        <v>2406</v>
      </c>
      <c r="D1139" t="s">
        <v>4233</v>
      </c>
    </row>
    <row r="1140" spans="1:4" x14ac:dyDescent="0.3">
      <c r="A1140">
        <v>1164</v>
      </c>
      <c r="B1140" s="13">
        <v>45967</v>
      </c>
      <c r="C1140" t="s">
        <v>2598</v>
      </c>
      <c r="D1140" t="s">
        <v>4234</v>
      </c>
    </row>
    <row r="1141" spans="1:4" x14ac:dyDescent="0.3">
      <c r="A1141">
        <v>1165</v>
      </c>
      <c r="B1141" s="13">
        <v>45967</v>
      </c>
      <c r="C1141" t="s">
        <v>1743</v>
      </c>
      <c r="D1141" t="s">
        <v>4236</v>
      </c>
    </row>
    <row r="1142" spans="1:4" x14ac:dyDescent="0.3">
      <c r="A1142">
        <v>1166</v>
      </c>
      <c r="B1142" s="13">
        <v>45967</v>
      </c>
      <c r="C1142" t="s">
        <v>1801</v>
      </c>
      <c r="D1142" t="s">
        <v>4237</v>
      </c>
    </row>
    <row r="1143" spans="1:4" x14ac:dyDescent="0.3">
      <c r="A1143">
        <v>1167</v>
      </c>
      <c r="B1143" s="13">
        <v>45968</v>
      </c>
      <c r="C1143" t="s">
        <v>4034</v>
      </c>
      <c r="D1143" t="s">
        <v>4247</v>
      </c>
    </row>
    <row r="1144" spans="1:4" x14ac:dyDescent="0.3">
      <c r="A1144">
        <v>1168</v>
      </c>
      <c r="B1144" s="13">
        <v>45968</v>
      </c>
      <c r="C1144" t="s">
        <v>2020</v>
      </c>
      <c r="D1144" t="s">
        <v>4248</v>
      </c>
    </row>
    <row r="1145" spans="1:4" x14ac:dyDescent="0.3">
      <c r="A1145">
        <v>1169</v>
      </c>
      <c r="B1145" s="13">
        <v>45968</v>
      </c>
      <c r="C1145" t="s">
        <v>1576</v>
      </c>
      <c r="D1145" t="s">
        <v>4249</v>
      </c>
    </row>
    <row r="1146" spans="1:4" x14ac:dyDescent="0.3">
      <c r="A1146">
        <v>1170</v>
      </c>
      <c r="B1146" s="13">
        <v>45968</v>
      </c>
      <c r="C1146" t="s">
        <v>2288</v>
      </c>
      <c r="D1146" t="s">
        <v>4250</v>
      </c>
    </row>
    <row r="1147" spans="1:4" x14ac:dyDescent="0.3">
      <c r="A1147">
        <v>1171</v>
      </c>
      <c r="B1147" s="13">
        <v>45969</v>
      </c>
      <c r="C1147" t="s">
        <v>1537</v>
      </c>
      <c r="D1147" t="s">
        <v>4259</v>
      </c>
    </row>
    <row r="1148" spans="1:4" x14ac:dyDescent="0.3">
      <c r="A1148">
        <v>1172</v>
      </c>
      <c r="B1148" s="13">
        <v>45970</v>
      </c>
      <c r="C1148" t="s">
        <v>2492</v>
      </c>
      <c r="D1148" t="s">
        <v>4261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4264</v>
      </c>
    </row>
    <row r="1150" spans="1:4" x14ac:dyDescent="0.3">
      <c r="A1150">
        <v>1174</v>
      </c>
      <c r="B1150" s="13">
        <v>45971</v>
      </c>
      <c r="C1150" t="s">
        <v>1440</v>
      </c>
      <c r="D1150" t="s">
        <v>4265</v>
      </c>
    </row>
    <row r="1151" spans="1:4" x14ac:dyDescent="0.3">
      <c r="A1151">
        <v>1175</v>
      </c>
      <c r="B1151" s="13">
        <v>45971</v>
      </c>
      <c r="C1151" t="s">
        <v>1718</v>
      </c>
      <c r="D1151" t="s">
        <v>4266</v>
      </c>
    </row>
    <row r="1152" spans="1:4" x14ac:dyDescent="0.3">
      <c r="A1152">
        <v>1176</v>
      </c>
      <c r="B1152" s="13">
        <v>45971</v>
      </c>
      <c r="C1152" t="s">
        <v>2361</v>
      </c>
      <c r="D1152" t="s">
        <v>4269</v>
      </c>
    </row>
    <row r="1153" spans="1:4" x14ac:dyDescent="0.3">
      <c r="A1153">
        <v>1177</v>
      </c>
      <c r="B1153" s="13">
        <v>45971</v>
      </c>
      <c r="C1153" t="s">
        <v>1927</v>
      </c>
      <c r="D1153" t="s">
        <v>4274</v>
      </c>
    </row>
    <row r="1154" spans="1:4" x14ac:dyDescent="0.3">
      <c r="A1154">
        <v>1178</v>
      </c>
      <c r="B1154" s="13">
        <v>45971</v>
      </c>
      <c r="C1154" t="s">
        <v>1866</v>
      </c>
      <c r="D1154" t="s">
        <v>4276</v>
      </c>
    </row>
    <row r="1155" spans="1:4" x14ac:dyDescent="0.3">
      <c r="A1155">
        <v>1179</v>
      </c>
      <c r="B1155" s="13">
        <v>45972</v>
      </c>
      <c r="C1155" t="s">
        <v>3197</v>
      </c>
      <c r="D1155" t="s">
        <v>4278</v>
      </c>
    </row>
    <row r="1156" spans="1:4" x14ac:dyDescent="0.3">
      <c r="A1156">
        <v>1180</v>
      </c>
      <c r="B1156" s="13">
        <v>45972</v>
      </c>
      <c r="C1156" t="s">
        <v>1234</v>
      </c>
      <c r="D1156" t="s">
        <v>4279</v>
      </c>
    </row>
    <row r="1157" spans="1:4" x14ac:dyDescent="0.3">
      <c r="A1157">
        <v>1181</v>
      </c>
      <c r="B1157" s="13">
        <v>45972</v>
      </c>
      <c r="C1157" t="s">
        <v>1843</v>
      </c>
      <c r="D1157" t="s">
        <v>4280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4281</v>
      </c>
    </row>
    <row r="1159" spans="1:4" x14ac:dyDescent="0.3">
      <c r="A1159">
        <v>1183</v>
      </c>
      <c r="B1159" s="13">
        <v>45973</v>
      </c>
      <c r="C1159" t="s">
        <v>1786</v>
      </c>
      <c r="D1159" t="s">
        <v>4293</v>
      </c>
    </row>
    <row r="1160" spans="1:4" x14ac:dyDescent="0.3">
      <c r="A1160">
        <v>1184</v>
      </c>
      <c r="B1160" s="13">
        <v>45973</v>
      </c>
      <c r="C1160" t="s">
        <v>1718</v>
      </c>
      <c r="D1160" t="s">
        <v>4294</v>
      </c>
    </row>
    <row r="1161" spans="1:4" x14ac:dyDescent="0.3">
      <c r="A1161">
        <v>1185</v>
      </c>
      <c r="B1161" s="13">
        <v>45973</v>
      </c>
      <c r="C1161" t="s">
        <v>1227</v>
      </c>
      <c r="D1161" t="s">
        <v>4296</v>
      </c>
    </row>
    <row r="1162" spans="1:4" x14ac:dyDescent="0.3">
      <c r="A1162">
        <v>1186</v>
      </c>
      <c r="B1162" s="13">
        <v>45973</v>
      </c>
      <c r="C1162" t="s">
        <v>3285</v>
      </c>
      <c r="D1162" t="s">
        <v>4298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4299</v>
      </c>
    </row>
    <row r="1164" spans="1:4" x14ac:dyDescent="0.3">
      <c r="A1164">
        <v>1188</v>
      </c>
      <c r="B1164" s="13">
        <v>45973</v>
      </c>
      <c r="C1164" t="s">
        <v>2606</v>
      </c>
      <c r="D1164" t="s">
        <v>4300</v>
      </c>
    </row>
    <row r="1165" spans="1:4" x14ac:dyDescent="0.3">
      <c r="A1165">
        <v>1189</v>
      </c>
      <c r="B1165" s="13">
        <v>45973</v>
      </c>
      <c r="C1165" t="s">
        <v>2768</v>
      </c>
      <c r="D1165" t="s">
        <v>4301</v>
      </c>
    </row>
    <row r="1166" spans="1:4" x14ac:dyDescent="0.3">
      <c r="A1166">
        <v>1190</v>
      </c>
      <c r="B1166" s="13">
        <v>45973</v>
      </c>
      <c r="C1166" t="s">
        <v>1387</v>
      </c>
      <c r="D1166" t="s">
        <v>4302</v>
      </c>
    </row>
    <row r="1167" spans="1:4" x14ac:dyDescent="0.3">
      <c r="A1167">
        <v>1191</v>
      </c>
      <c r="B1167" s="13">
        <v>45974</v>
      </c>
      <c r="C1167" t="s">
        <v>2912</v>
      </c>
      <c r="D1167" t="s">
        <v>4312</v>
      </c>
    </row>
    <row r="1168" spans="1:4" x14ac:dyDescent="0.3">
      <c r="A1168">
        <v>1192</v>
      </c>
      <c r="B1168" s="13">
        <v>45974</v>
      </c>
      <c r="C1168" t="s">
        <v>2257</v>
      </c>
      <c r="D1168" t="s">
        <v>4313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4314</v>
      </c>
    </row>
    <row r="1170" spans="1:4" x14ac:dyDescent="0.3">
      <c r="A1170">
        <v>1194</v>
      </c>
      <c r="B1170" s="13">
        <v>45974</v>
      </c>
      <c r="C1170" t="s">
        <v>4308</v>
      </c>
      <c r="D1170" t="s">
        <v>4315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4317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4318</v>
      </c>
    </row>
    <row r="1173" spans="1:4" x14ac:dyDescent="0.3">
      <c r="A1173">
        <v>1197</v>
      </c>
      <c r="B1173" s="13">
        <v>45974</v>
      </c>
      <c r="C1173" t="s">
        <v>1465</v>
      </c>
      <c r="D1173" t="s">
        <v>4338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202</v>
      </c>
      <c r="J1" s="283"/>
      <c r="K1" s="282"/>
    </row>
    <row r="2" spans="1:11" x14ac:dyDescent="0.3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2588</v>
      </c>
      <c r="C3" t="s">
        <v>2589</v>
      </c>
      <c r="E3" t="s">
        <v>2590</v>
      </c>
      <c r="H3" s="194">
        <f>SUMIF(주문_리스트!C:C,거래처!B3,주문_리스트!K:K)+SUMIF(주문_리스트!C:C,거래처!B3,주문_리스트!L:L)</f>
        <v>300000</v>
      </c>
      <c r="I3" s="52" t="s">
        <v>4319</v>
      </c>
    </row>
    <row r="4" spans="1:11" x14ac:dyDescent="0.3">
      <c r="A4" s="47">
        <v>3</v>
      </c>
      <c r="B4" t="s">
        <v>1271</v>
      </c>
      <c r="C4" t="s">
        <v>3638</v>
      </c>
      <c r="E4" t="s">
        <v>3639</v>
      </c>
      <c r="F4" t="s">
        <v>963</v>
      </c>
      <c r="G4" t="s">
        <v>3640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1272</v>
      </c>
      <c r="C6" t="s">
        <v>2591</v>
      </c>
      <c r="E6" t="s">
        <v>2592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1287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1274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4">
        <f>SUMIF(주문_리스트!C:C,거래처!B10,주문_리스트!K:K)+SUMIF(주문_리스트!C:C,거래처!B10,주문_리스트!L:L)</f>
        <v>400000</v>
      </c>
      <c r="I10" s="52" t="s">
        <v>4319</v>
      </c>
    </row>
    <row r="11" spans="1:11" x14ac:dyDescent="0.3">
      <c r="A11" s="47">
        <v>10</v>
      </c>
      <c r="B11" t="s">
        <v>1277</v>
      </c>
      <c r="C11" t="s">
        <v>1611</v>
      </c>
      <c r="E11" t="s">
        <v>1612</v>
      </c>
      <c r="F11" t="s">
        <v>34</v>
      </c>
      <c r="G11" t="s">
        <v>3939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1278</v>
      </c>
      <c r="C12" t="s">
        <v>2127</v>
      </c>
      <c r="E12" t="s">
        <v>2128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1279</v>
      </c>
      <c r="C13" t="s">
        <v>1210</v>
      </c>
      <c r="E13" t="s">
        <v>3321</v>
      </c>
      <c r="F13" t="s">
        <v>32</v>
      </c>
      <c r="G13" t="s">
        <v>3311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1280</v>
      </c>
      <c r="C14" t="s">
        <v>2499</v>
      </c>
      <c r="E14" t="s">
        <v>3792</v>
      </c>
      <c r="F14" t="s">
        <v>3787</v>
      </c>
      <c r="G14" t="s">
        <v>3793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18013000.199999999</v>
      </c>
      <c r="I17" s="52" t="s">
        <v>4319</v>
      </c>
    </row>
    <row r="18" spans="1:13" x14ac:dyDescent="0.3">
      <c r="A18" s="47">
        <v>17</v>
      </c>
      <c r="B18" t="s">
        <v>1284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6983000</v>
      </c>
      <c r="I19" s="52" t="s">
        <v>4319</v>
      </c>
      <c r="M19" s="282"/>
    </row>
    <row r="20" spans="1:13" x14ac:dyDescent="0.3">
      <c r="A20" s="47">
        <v>19</v>
      </c>
      <c r="B20" t="s">
        <v>1286</v>
      </c>
      <c r="C20" t="s">
        <v>1228</v>
      </c>
      <c r="E20" t="s">
        <v>1229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  <c r="J20" t="s">
        <v>4328</v>
      </c>
    </row>
    <row r="21" spans="1:13" x14ac:dyDescent="0.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4">
        <f>SUMIF(주문_리스트!C:C,거래처!B21,주문_리스트!K:K)+SUMIF(주문_리스트!C:C,거래처!B21,주문_리스트!L:L)</f>
        <v>0</v>
      </c>
      <c r="J21" t="s">
        <v>4326</v>
      </c>
    </row>
    <row r="22" spans="1:13" x14ac:dyDescent="0.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1289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1290</v>
      </c>
      <c r="C24" t="s">
        <v>3385</v>
      </c>
      <c r="E24" t="s">
        <v>3386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3516</v>
      </c>
    </row>
    <row r="25" spans="1:13" x14ac:dyDescent="0.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330000</v>
      </c>
      <c r="I25" s="52" t="s">
        <v>4319</v>
      </c>
    </row>
    <row r="26" spans="1:13" x14ac:dyDescent="0.3">
      <c r="A26" s="47">
        <v>25</v>
      </c>
      <c r="B26" t="s">
        <v>1292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3451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1295</v>
      </c>
      <c r="C33" t="s">
        <v>3322</v>
      </c>
      <c r="E33" t="s">
        <v>3323</v>
      </c>
      <c r="F33" t="s">
        <v>3324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3613</v>
      </c>
      <c r="J33" t="s">
        <v>3613</v>
      </c>
    </row>
    <row r="34" spans="1:10" x14ac:dyDescent="0.3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  <c r="I37" s="52" t="s">
        <v>4319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3801</v>
      </c>
      <c r="F38" t="s">
        <v>32</v>
      </c>
      <c r="G38" t="s">
        <v>1560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4">
        <f>SUMIF(주문_리스트!C:C,거래처!B39,주문_리스트!K:K)+SUMIF(주문_리스트!C:C,거래처!B39,주문_리스트!L:L)-2200000</f>
        <v>0</v>
      </c>
      <c r="J39" t="s">
        <v>4324</v>
      </c>
    </row>
    <row r="40" spans="1:10" x14ac:dyDescent="0.3">
      <c r="A40" s="47">
        <v>39</v>
      </c>
      <c r="B40" t="s">
        <v>1300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1303</v>
      </c>
      <c r="C43" t="s">
        <v>1360</v>
      </c>
      <c r="E43" t="s">
        <v>1361</v>
      </c>
      <c r="F43" t="s">
        <v>2345</v>
      </c>
      <c r="G43" t="s">
        <v>2346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1304</v>
      </c>
      <c r="C44" t="s">
        <v>2640</v>
      </c>
      <c r="E44" t="s">
        <v>2641</v>
      </c>
      <c r="F44" t="s">
        <v>963</v>
      </c>
      <c r="G44" t="s">
        <v>2642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1306</v>
      </c>
      <c r="C46" t="s">
        <v>2438</v>
      </c>
      <c r="E46" t="s">
        <v>2440</v>
      </c>
      <c r="F46" t="s">
        <v>1180</v>
      </c>
      <c r="G46" t="s">
        <v>2439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1309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1264</v>
      </c>
      <c r="C50" t="s">
        <v>1265</v>
      </c>
      <c r="E50" t="s">
        <v>1266</v>
      </c>
      <c r="H50" s="194">
        <f>SUMIF(주문_리스트!C:C,거래처!B50,주문_리스트!K:K)+SUMIF(주문_리스트!C:C,거래처!B50,주문_리스트!L:L)-1500000</f>
        <v>0</v>
      </c>
      <c r="I50" s="52" t="s">
        <v>3861</v>
      </c>
    </row>
    <row r="51" spans="1:11" x14ac:dyDescent="0.3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1785</v>
      </c>
      <c r="E54" t="s">
        <v>2622</v>
      </c>
      <c r="F54" t="s">
        <v>32</v>
      </c>
      <c r="G54" t="s">
        <v>2623</v>
      </c>
      <c r="H54" s="194">
        <f>SUMIF(주문_리스트!C:C,거래처!B54,주문_리스트!K:K)+SUMIF(주문_리스트!C:C,거래처!B54,주문_리스트!L:L)-4015000</f>
        <v>0</v>
      </c>
      <c r="I54" s="52" t="s">
        <v>4168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1313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4016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1317</v>
      </c>
      <c r="C62" t="s">
        <v>2601</v>
      </c>
      <c r="E62" t="s">
        <v>2602</v>
      </c>
      <c r="F62" t="s">
        <v>2603</v>
      </c>
      <c r="G62" t="s">
        <v>2604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1320</v>
      </c>
      <c r="C65" t="s">
        <v>2616</v>
      </c>
      <c r="E65" t="s">
        <v>2617</v>
      </c>
      <c r="F65" t="s">
        <v>33</v>
      </c>
      <c r="G65" t="s">
        <v>3871</v>
      </c>
      <c r="H65" s="194">
        <f>SUMIF(주문_리스트!C:C,거래처!B65,주문_리스트!K:K)+SUMIF(주문_리스트!C:C,거래처!B65,주문_리스트!L:L)</f>
        <v>0</v>
      </c>
      <c r="J65" t="s">
        <v>3890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2043</v>
      </c>
      <c r="G66" t="s">
        <v>2044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4140</v>
      </c>
    </row>
    <row r="69" spans="1:10" x14ac:dyDescent="0.3">
      <c r="A69" s="47">
        <v>68</v>
      </c>
      <c r="B69" t="s">
        <v>1323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2441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1325</v>
      </c>
      <c r="C71" t="s">
        <v>2500</v>
      </c>
      <c r="E71" t="s">
        <v>2501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4270</v>
      </c>
    </row>
    <row r="72" spans="1:10" x14ac:dyDescent="0.3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</row>
    <row r="73" spans="1:10" x14ac:dyDescent="0.3">
      <c r="A73" s="47">
        <v>72</v>
      </c>
      <c r="B73" t="s">
        <v>1484</v>
      </c>
      <c r="C73" t="s">
        <v>1485</v>
      </c>
      <c r="E73" t="s">
        <v>3786</v>
      </c>
      <c r="F73" t="s">
        <v>3787</v>
      </c>
      <c r="G73" t="s">
        <v>3788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3846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1327</v>
      </c>
      <c r="C75" t="s">
        <v>994</v>
      </c>
      <c r="E75" t="s">
        <v>1328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4319</v>
      </c>
    </row>
    <row r="77" spans="1:10" x14ac:dyDescent="0.3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1331</v>
      </c>
      <c r="C78" t="s">
        <v>3401</v>
      </c>
      <c r="E78" t="s">
        <v>3402</v>
      </c>
      <c r="F78" t="s">
        <v>963</v>
      </c>
      <c r="G78" t="s">
        <v>3403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2800000</v>
      </c>
      <c r="I79" s="52" t="s">
        <v>4319</v>
      </c>
    </row>
    <row r="80" spans="1:10" x14ac:dyDescent="0.3">
      <c r="A80" s="47">
        <v>79</v>
      </c>
      <c r="B80" t="s">
        <v>1333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1334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1335</v>
      </c>
      <c r="C82" t="s">
        <v>3375</v>
      </c>
      <c r="E82" t="s">
        <v>3376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3086</v>
      </c>
      <c r="K82" t="s">
        <v>3396</v>
      </c>
    </row>
    <row r="83" spans="1:11" x14ac:dyDescent="0.3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4016</v>
      </c>
    </row>
    <row r="84" spans="1:11" x14ac:dyDescent="0.3">
      <c r="A84" s="47">
        <v>83</v>
      </c>
      <c r="B84" t="s">
        <v>1337</v>
      </c>
      <c r="C84" t="s">
        <v>1171</v>
      </c>
      <c r="E84" t="s">
        <v>3799</v>
      </c>
      <c r="F84" t="s">
        <v>3787</v>
      </c>
      <c r="G84" t="s">
        <v>3800</v>
      </c>
      <c r="H84" s="194">
        <f>SUMIF(주문_리스트!C:C,거래처!B84,주문_리스트!K:K)+SUMIF(주문_리스트!C:C,거래처!B84,주문_리스트!L:L)-1100000</f>
        <v>3150000</v>
      </c>
      <c r="I84" s="52" t="s">
        <v>4319</v>
      </c>
    </row>
    <row r="85" spans="1:11" x14ac:dyDescent="0.3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4319</v>
      </c>
    </row>
    <row r="86" spans="1:11" x14ac:dyDescent="0.3">
      <c r="A86" s="47">
        <v>85</v>
      </c>
      <c r="B86" t="s">
        <v>1339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4">
        <f>SUMIF(주문_리스트!C:C,거래처!B88,주문_리스트!K:K)+SUMIF(주문_리스트!C:C,거래처!B88,주문_리스트!L:L)-3130000</f>
        <v>0</v>
      </c>
      <c r="I88" s="52" t="s">
        <v>3755</v>
      </c>
    </row>
    <row r="89" spans="1:11" x14ac:dyDescent="0.3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1343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1344</v>
      </c>
      <c r="C91" t="s">
        <v>2386</v>
      </c>
      <c r="E91" t="s">
        <v>2387</v>
      </c>
      <c r="F91" t="s">
        <v>2388</v>
      </c>
      <c r="H91" s="194">
        <f>SUMIF(주문_리스트!C:C,거래처!B91,주문_리스트!K:K)+SUMIF(주문_리스트!C:C,거래처!B91,주문_리스트!L:L)-700000</f>
        <v>0</v>
      </c>
      <c r="I91" s="52" t="s">
        <v>2943</v>
      </c>
    </row>
    <row r="92" spans="1:11" x14ac:dyDescent="0.3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4">
        <f>SUMIF(주문_리스트!C:C,거래처!B92,주문_리스트!K:K)+SUMIF(주문_리스트!C:C,거래처!B92,주문_리스트!L:L)-2089000</f>
        <v>385000.09999999963</v>
      </c>
      <c r="I92" s="52" t="s">
        <v>4319</v>
      </c>
    </row>
    <row r="93" spans="1:11" x14ac:dyDescent="0.3">
      <c r="A93" s="47">
        <v>92</v>
      </c>
      <c r="B93" t="s">
        <v>1346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4">
        <f>SUMIF(주문_리스트!C:C,거래처!B94,주문_리스트!K:K)+SUMIF(주문_리스트!C:C,거래처!B94,주문_리스트!L:L)-1320000</f>
        <v>1200000</v>
      </c>
      <c r="I94" s="52" t="s">
        <v>4319</v>
      </c>
    </row>
    <row r="95" spans="1:11" x14ac:dyDescent="0.3">
      <c r="A95" s="47">
        <v>94</v>
      </c>
      <c r="B95" t="s">
        <v>1347</v>
      </c>
      <c r="C95" t="s">
        <v>1809</v>
      </c>
      <c r="E95" t="s">
        <v>3794</v>
      </c>
      <c r="F95" t="s">
        <v>3787</v>
      </c>
      <c r="G95" t="s">
        <v>3795</v>
      </c>
      <c r="H95" s="194">
        <f>SUMIF(주문_리스트!C:C,거래처!B95,주문_리스트!K:K)+SUMIF(주문_리스트!C:C,거래처!B95,주문_리스트!L:L)-715000</f>
        <v>0</v>
      </c>
      <c r="J95" t="s">
        <v>4141</v>
      </c>
    </row>
    <row r="96" spans="1:11" x14ac:dyDescent="0.3">
      <c r="A96" s="47">
        <v>95</v>
      </c>
      <c r="B96" t="s">
        <v>1348</v>
      </c>
      <c r="C96" t="s">
        <v>3591</v>
      </c>
      <c r="E96" t="s">
        <v>3592</v>
      </c>
      <c r="F96" t="s">
        <v>963</v>
      </c>
      <c r="G96" t="s">
        <v>3593</v>
      </c>
      <c r="H96" s="194">
        <f>SUMIF(주문_리스트!C:C,거래처!B96,주문_리스트!K:K)+SUMIF(주문_리스트!C:C,거래처!B96,주문_리스트!L:L)</f>
        <v>0</v>
      </c>
      <c r="J96" t="s">
        <v>4325</v>
      </c>
    </row>
    <row r="97" spans="1:11" x14ac:dyDescent="0.3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  <c r="I97" s="52" t="s">
        <v>4319</v>
      </c>
    </row>
    <row r="98" spans="1:11" x14ac:dyDescent="0.3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3488</v>
      </c>
      <c r="H99" s="194">
        <f>SUMIF(주문_리스트!C:C,거래처!B99,주문_리스트!K:K)+SUMIF(주문_리스트!C:C,거래처!B99,주문_리스트!L:L)</f>
        <v>0</v>
      </c>
      <c r="I99" s="52" t="s">
        <v>4270</v>
      </c>
    </row>
    <row r="100" spans="1:11" x14ac:dyDescent="0.3">
      <c r="A100" s="47">
        <v>99</v>
      </c>
      <c r="B100" t="s">
        <v>2434</v>
      </c>
      <c r="C100" t="s">
        <v>2435</v>
      </c>
      <c r="E100" t="s">
        <v>2436</v>
      </c>
      <c r="F100" t="s">
        <v>2437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4016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G102" t="s">
        <v>3940</v>
      </c>
      <c r="H102" s="194">
        <f>SUMIF(주문_리스트!C:C,거래처!B102,주문_리스트!K:K)+SUMIF(주문_리스트!C:C,거래처!B102,주문_리스트!L:L)</f>
        <v>0</v>
      </c>
      <c r="J102" t="s">
        <v>3892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3842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3888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3339000</v>
      </c>
      <c r="I109" s="52" t="s">
        <v>4319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4">
        <f>SUMIF(주문_리스트!C:C,거래처!B113,주문_리스트!K:K)+SUMIF(주문_리스트!C:C,거래처!B113,주문_리스트!L:L)-5100000</f>
        <v>1900000</v>
      </c>
      <c r="I113" s="52" t="s">
        <v>4319</v>
      </c>
    </row>
    <row r="114" spans="1:10" x14ac:dyDescent="0.3">
      <c r="A114" s="47">
        <v>113</v>
      </c>
      <c r="B114" t="s">
        <v>1355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3613</v>
      </c>
    </row>
    <row r="115" spans="1:10" x14ac:dyDescent="0.3">
      <c r="A115" s="47">
        <v>114</v>
      </c>
      <c r="B115" t="s">
        <v>4035</v>
      </c>
      <c r="C115" t="s">
        <v>4036</v>
      </c>
      <c r="E115" t="s">
        <v>4037</v>
      </c>
      <c r="F115" t="s">
        <v>4046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4200</v>
      </c>
    </row>
    <row r="117" spans="1:10" x14ac:dyDescent="0.3">
      <c r="A117" s="47">
        <v>116</v>
      </c>
      <c r="B117" t="s">
        <v>1356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2859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3931</v>
      </c>
    </row>
    <row r="119" spans="1:10" x14ac:dyDescent="0.3">
      <c r="A119" s="47">
        <v>118</v>
      </c>
      <c r="B119" t="s">
        <v>4288</v>
      </c>
      <c r="C119" t="s">
        <v>4289</v>
      </c>
      <c r="E119" t="s">
        <v>4290</v>
      </c>
      <c r="F119" t="s">
        <v>4291</v>
      </c>
      <c r="G119" t="s">
        <v>4292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2487</v>
      </c>
      <c r="C121" t="s">
        <v>1518</v>
      </c>
      <c r="E121" t="s">
        <v>1519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1654</v>
      </c>
      <c r="C124" t="s">
        <v>1655</v>
      </c>
      <c r="E124" t="s">
        <v>1656</v>
      </c>
      <c r="F124" t="s">
        <v>1180</v>
      </c>
      <c r="G124" t="s">
        <v>1656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1667</v>
      </c>
      <c r="C125" t="s">
        <v>1668</v>
      </c>
      <c r="E125" t="s">
        <v>1669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4">
        <v>0</v>
      </c>
    </row>
    <row r="127" spans="1:10" x14ac:dyDescent="0.3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2030</v>
      </c>
      <c r="C130" t="s">
        <v>2031</v>
      </c>
      <c r="E130" t="s">
        <v>2032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2035</v>
      </c>
      <c r="C131" t="s">
        <v>2036</v>
      </c>
      <c r="E131" t="s">
        <v>2037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2780</v>
      </c>
      <c r="C132" t="s">
        <v>2781</v>
      </c>
      <c r="E132" t="s">
        <v>2782</v>
      </c>
      <c r="F132" t="s">
        <v>2783</v>
      </c>
      <c r="G132" t="s">
        <v>2784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3300</v>
      </c>
    </row>
    <row r="135" spans="1:10" x14ac:dyDescent="0.3">
      <c r="A135" s="47">
        <v>134</v>
      </c>
      <c r="B135" t="s">
        <v>2129</v>
      </c>
      <c r="C135" t="s">
        <v>2130</v>
      </c>
      <c r="E135" t="s">
        <v>2131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2144</v>
      </c>
      <c r="C136" t="s">
        <v>2146</v>
      </c>
      <c r="E136" t="s">
        <v>2147</v>
      </c>
      <c r="H136" s="194">
        <f>SUMIF(주문_리스트!C:C,거래처!B136,주문_리스트!K:K)+SUMIF(주문_리스트!C:C,거래처!B136,주문_리스트!L:L)</f>
        <v>0</v>
      </c>
      <c r="I136" s="52" t="s">
        <v>3613</v>
      </c>
      <c r="J136">
        <v>45</v>
      </c>
    </row>
    <row r="137" spans="1:10" x14ac:dyDescent="0.3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2753</v>
      </c>
      <c r="C138" t="s">
        <v>2754</v>
      </c>
      <c r="E138" t="s">
        <v>2755</v>
      </c>
      <c r="F138" t="s">
        <v>2756</v>
      </c>
      <c r="G138" t="s">
        <v>2757</v>
      </c>
      <c r="H138" s="194">
        <f>SUMIF(주문_리스트!C:C,거래처!B138,주문_리스트!K:K)+SUMIF(주문_리스트!C:C,거래처!B138,주문_리스트!L:L)</f>
        <v>0</v>
      </c>
      <c r="I138" s="52" t="s">
        <v>4319</v>
      </c>
    </row>
    <row r="139" spans="1:10" x14ac:dyDescent="0.3">
      <c r="A139" s="47">
        <v>138</v>
      </c>
      <c r="B139" t="s">
        <v>2371</v>
      </c>
      <c r="C139" t="s">
        <v>2372</v>
      </c>
      <c r="E139" t="s">
        <v>2373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2254</v>
      </c>
      <c r="C140" t="s">
        <v>2354</v>
      </c>
      <c r="E140" t="s">
        <v>2355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2361</v>
      </c>
      <c r="C141" t="s">
        <v>2362</v>
      </c>
      <c r="E141" t="s">
        <v>2363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2367</v>
      </c>
      <c r="C142" t="s">
        <v>2368</v>
      </c>
      <c r="E142" t="s">
        <v>2369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2377</v>
      </c>
      <c r="C143" t="s">
        <v>2378</v>
      </c>
      <c r="E143" t="s">
        <v>2379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2464</v>
      </c>
      <c r="C144" t="s">
        <v>2465</v>
      </c>
      <c r="E144" t="s">
        <v>2467</v>
      </c>
      <c r="F144" t="s">
        <v>2466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2468</v>
      </c>
      <c r="C145" t="s">
        <v>2944</v>
      </c>
      <c r="E145" t="s">
        <v>2945</v>
      </c>
      <c r="F145" t="s">
        <v>963</v>
      </c>
      <c r="G145" t="s">
        <v>2946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2483</v>
      </c>
      <c r="C146" t="s">
        <v>2484</v>
      </c>
      <c r="E146" t="s">
        <v>2485</v>
      </c>
      <c r="F146" t="s">
        <v>963</v>
      </c>
      <c r="G146" t="s">
        <v>2486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2673</v>
      </c>
      <c r="C147" t="s">
        <v>2671</v>
      </c>
      <c r="E147" t="s">
        <v>2672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2557</v>
      </c>
      <c r="C148" t="s">
        <v>2558</v>
      </c>
      <c r="E148" t="s">
        <v>3789</v>
      </c>
      <c r="F148" t="s">
        <v>3790</v>
      </c>
      <c r="G148" t="s">
        <v>3791</v>
      </c>
      <c r="H148" s="194">
        <f>SUMIF(주문_리스트!C:C,거래처!B148,주문_리스트!K:K)+SUMIF(주문_리스트!C:C,거래처!B148,주문_리스트!L:L)</f>
        <v>0</v>
      </c>
      <c r="K148" t="s">
        <v>4016</v>
      </c>
    </row>
    <row r="149" spans="1:11" x14ac:dyDescent="0.3">
      <c r="A149" s="47">
        <v>148</v>
      </c>
      <c r="B149" t="s">
        <v>2629</v>
      </c>
      <c r="C149" t="s">
        <v>2630</v>
      </c>
      <c r="D149" t="s">
        <v>2631</v>
      </c>
      <c r="E149" t="s">
        <v>2632</v>
      </c>
      <c r="F149" t="s">
        <v>32</v>
      </c>
      <c r="G149" t="s">
        <v>2633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2700</v>
      </c>
      <c r="C150" t="s">
        <v>2701</v>
      </c>
      <c r="E150" t="s">
        <v>2702</v>
      </c>
      <c r="F150" t="s">
        <v>963</v>
      </c>
      <c r="G150" t="s">
        <v>2703</v>
      </c>
      <c r="H150" s="194">
        <f>SUMIF(주문_리스트!C:C,거래처!B150,주문_리스트!K:K)+SUMIF(주문_리스트!C:C,거래처!B150,주문_리스트!L:L)</f>
        <v>0</v>
      </c>
      <c r="J150" t="s">
        <v>4144</v>
      </c>
    </row>
    <row r="151" spans="1:11" x14ac:dyDescent="0.3">
      <c r="A151" s="47">
        <v>150</v>
      </c>
      <c r="B151" t="s">
        <v>2728</v>
      </c>
      <c r="C151" t="s">
        <v>2729</v>
      </c>
      <c r="E151" t="s">
        <v>2730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2738</v>
      </c>
      <c r="C152" t="s">
        <v>2739</v>
      </c>
      <c r="E152" t="s">
        <v>2740</v>
      </c>
      <c r="F152" t="s">
        <v>963</v>
      </c>
      <c r="G152" t="s">
        <v>2741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2758</v>
      </c>
      <c r="C153" t="s">
        <v>2759</v>
      </c>
      <c r="E153" t="s">
        <v>2760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2765</v>
      </c>
      <c r="C154" t="s">
        <v>2766</v>
      </c>
      <c r="E154" t="s">
        <v>2767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2785</v>
      </c>
      <c r="C155" t="s">
        <v>2786</v>
      </c>
      <c r="E155" t="s">
        <v>2787</v>
      </c>
      <c r="F155" t="s">
        <v>1180</v>
      </c>
      <c r="G155" t="s">
        <v>2788</v>
      </c>
      <c r="H155" s="194">
        <f>SUMIF(주문_리스트!C:C,거래처!B155,주문_리스트!K:K)+SUMIF(주문_리스트!C:C,거래처!B155,주문_리스트!L:L)</f>
        <v>0</v>
      </c>
      <c r="I155" s="52" t="s">
        <v>3079</v>
      </c>
    </row>
    <row r="156" spans="1:11" x14ac:dyDescent="0.3">
      <c r="A156" s="47">
        <v>155</v>
      </c>
      <c r="B156" t="s">
        <v>2805</v>
      </c>
      <c r="C156" t="s">
        <v>2806</v>
      </c>
      <c r="E156" t="s">
        <v>2807</v>
      </c>
      <c r="F156" t="s">
        <v>976</v>
      </c>
      <c r="G156" t="s">
        <v>2808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2856</v>
      </c>
      <c r="C157" t="s">
        <v>2862</v>
      </c>
      <c r="E157" t="s">
        <v>2863</v>
      </c>
      <c r="F157" t="s">
        <v>976</v>
      </c>
      <c r="G157" t="s">
        <v>3254</v>
      </c>
      <c r="H157" s="194">
        <f>SUMIF(주문_리스트!C:C,거래처!B157,주문_리스트!K:K)+SUMIF(주문_리스트!C:C,거래처!B157,주문_리스트!L:L)</f>
        <v>0</v>
      </c>
      <c r="I157" s="52" t="s">
        <v>3755</v>
      </c>
    </row>
    <row r="158" spans="1:11" x14ac:dyDescent="0.3">
      <c r="A158" s="47">
        <v>157</v>
      </c>
      <c r="B158" t="s">
        <v>2865</v>
      </c>
      <c r="C158" t="s">
        <v>2866</v>
      </c>
      <c r="E158" t="s">
        <v>2867</v>
      </c>
      <c r="F158" t="s">
        <v>1180</v>
      </c>
      <c r="G158" t="s">
        <v>2876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2869</v>
      </c>
      <c r="C159" t="s">
        <v>2870</v>
      </c>
      <c r="E159" t="s">
        <v>2871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2886</v>
      </c>
      <c r="C160" t="s">
        <v>2887</v>
      </c>
      <c r="E160" t="s">
        <v>2888</v>
      </c>
      <c r="F160" t="s">
        <v>963</v>
      </c>
      <c r="G160" t="s">
        <v>2889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2892</v>
      </c>
      <c r="C161" t="s">
        <v>2893</v>
      </c>
      <c r="E161" t="s">
        <v>2894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2912</v>
      </c>
      <c r="C162" t="s">
        <v>2913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  <c r="J162" t="s">
        <v>4321</v>
      </c>
    </row>
    <row r="163" spans="1:11" x14ac:dyDescent="0.3">
      <c r="A163" s="47">
        <v>162</v>
      </c>
      <c r="B163" t="s">
        <v>2926</v>
      </c>
      <c r="C163" t="s">
        <v>2927</v>
      </c>
      <c r="E163" t="s">
        <v>2928</v>
      </c>
      <c r="F163" t="s">
        <v>976</v>
      </c>
      <c r="G163" t="s">
        <v>2929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2931</v>
      </c>
      <c r="C164" t="s">
        <v>2932</v>
      </c>
      <c r="E164" t="s">
        <v>2933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2943</v>
      </c>
    </row>
    <row r="165" spans="1:11" x14ac:dyDescent="0.3">
      <c r="A165" s="47">
        <v>164</v>
      </c>
      <c r="B165" t="s">
        <v>2938</v>
      </c>
      <c r="C165" t="s">
        <v>2927</v>
      </c>
      <c r="E165" t="s">
        <v>2928</v>
      </c>
      <c r="F165" t="s">
        <v>976</v>
      </c>
      <c r="G165" t="s">
        <v>2929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2960</v>
      </c>
      <c r="C166" t="s">
        <v>2961</v>
      </c>
      <c r="E166" t="s">
        <v>2962</v>
      </c>
      <c r="F166" t="s">
        <v>963</v>
      </c>
      <c r="G166" t="s">
        <v>2963</v>
      </c>
      <c r="H166" s="194">
        <f>SUMIF(주문_리스트!C:C,거래처!B166,주문_리스트!K:K)+SUMIF(주문_리스트!C:C,거래처!B166,주문_리스트!L:L)</f>
        <v>0</v>
      </c>
      <c r="J166" t="s">
        <v>4146</v>
      </c>
    </row>
    <row r="167" spans="1:11" x14ac:dyDescent="0.3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4">
        <f>SUMIF(주문_리스트!C:C,거래처!B169,주문_리스트!K:K)+SUMIF(주문_리스트!C:C,거래처!B169,주문_리스트!L:L)</f>
        <v>0</v>
      </c>
      <c r="I169" s="52" t="s">
        <v>3079</v>
      </c>
    </row>
    <row r="170" spans="1:11" x14ac:dyDescent="0.3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4">
        <f>SUMIF(주문_리스트!C:C,거래처!B171,주문_리스트!K:K)+SUMIF(주문_리스트!C:C,거래처!B171,주문_리스트!L:L)</f>
        <v>0</v>
      </c>
      <c r="K171" t="s">
        <v>4016</v>
      </c>
    </row>
    <row r="172" spans="1:11" x14ac:dyDescent="0.3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3205</v>
      </c>
      <c r="C174" t="s">
        <v>3206</v>
      </c>
      <c r="E174" t="s">
        <v>3207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3258</v>
      </c>
      <c r="C175" t="s">
        <v>3259</v>
      </c>
      <c r="E175" t="s">
        <v>3260</v>
      </c>
      <c r="F175" t="s">
        <v>1180</v>
      </c>
      <c r="G175" t="s">
        <v>2788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3732</v>
      </c>
      <c r="C176" t="s">
        <v>3733</v>
      </c>
      <c r="E176" t="s">
        <v>3734</v>
      </c>
      <c r="F176" t="s">
        <v>3735</v>
      </c>
      <c r="G176" t="s">
        <v>3734</v>
      </c>
      <c r="H176" s="194">
        <f>SUMIF(주문_리스트!C:C,거래처!B176,주문_리스트!K:K)+SUMIF(주문_리스트!C:C,거래처!B176,주문_리스트!L:L)</f>
        <v>0</v>
      </c>
      <c r="J176" t="s">
        <v>3896</v>
      </c>
    </row>
    <row r="177" spans="1:11" x14ac:dyDescent="0.3">
      <c r="A177" s="47">
        <v>176</v>
      </c>
      <c r="B177" t="s">
        <v>3285</v>
      </c>
      <c r="C177" t="s">
        <v>3286</v>
      </c>
      <c r="E177" t="s">
        <v>3287</v>
      </c>
      <c r="F177" t="s">
        <v>976</v>
      </c>
      <c r="G177" t="s">
        <v>3288</v>
      </c>
      <c r="H177" s="194">
        <f>SUMIF(주문_리스트!C:C,거래처!B177,주문_리스트!K:K)+SUMIF(주문_리스트!C:C,거래처!B177,주문_리스트!L:L)</f>
        <v>0</v>
      </c>
      <c r="K177" t="s">
        <v>3396</v>
      </c>
    </row>
    <row r="178" spans="1:11" x14ac:dyDescent="0.3">
      <c r="A178" s="47">
        <v>177</v>
      </c>
      <c r="B178" t="s">
        <v>3344</v>
      </c>
      <c r="C178" t="s">
        <v>3345</v>
      </c>
      <c r="E178" t="s">
        <v>3346</v>
      </c>
      <c r="F178" t="s">
        <v>3347</v>
      </c>
      <c r="G178" t="s">
        <v>3348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3397</v>
      </c>
      <c r="C179" t="s">
        <v>3398</v>
      </c>
      <c r="E179" t="s">
        <v>3399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4016</v>
      </c>
    </row>
    <row r="180" spans="1:11" x14ac:dyDescent="0.3">
      <c r="A180" s="47">
        <v>179</v>
      </c>
      <c r="B180" t="s">
        <v>3446</v>
      </c>
      <c r="C180" t="s">
        <v>3447</v>
      </c>
      <c r="E180" t="s">
        <v>3448</v>
      </c>
      <c r="F180" t="s">
        <v>3449</v>
      </c>
      <c r="G180" t="s">
        <v>3450</v>
      </c>
      <c r="H180" s="194">
        <f>SUMIF(주문_리스트!C:C,거래처!B180,주문_리스트!K:K)+SUMIF(주문_리스트!C:C,거래처!B180,주문_리스트!L:L)</f>
        <v>0</v>
      </c>
      <c r="J180" t="s">
        <v>3613</v>
      </c>
    </row>
    <row r="181" spans="1:11" x14ac:dyDescent="0.3">
      <c r="A181" s="47">
        <v>180</v>
      </c>
      <c r="B181" t="s">
        <v>3453</v>
      </c>
      <c r="C181" t="s">
        <v>3454</v>
      </c>
      <c r="E181" t="s">
        <v>3455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3457</v>
      </c>
      <c r="C182" t="s">
        <v>3458</v>
      </c>
      <c r="E182" t="s">
        <v>3459</v>
      </c>
      <c r="F182" t="s">
        <v>1180</v>
      </c>
      <c r="G182" t="s">
        <v>2788</v>
      </c>
      <c r="H182" s="194">
        <f>SUMIF(주문_리스트!C:C,거래처!B182,주문_리스트!K:K)+SUMIF(주문_리스트!C:C,거래처!B182,주문_리스트!L:L)</f>
        <v>0</v>
      </c>
      <c r="J182" t="s">
        <v>3755</v>
      </c>
    </row>
    <row r="183" spans="1:11" x14ac:dyDescent="0.3">
      <c r="A183" s="47">
        <v>182</v>
      </c>
      <c r="B183" t="s">
        <v>3757</v>
      </c>
      <c r="C183" t="s">
        <v>3758</v>
      </c>
      <c r="E183" t="s">
        <v>3759</v>
      </c>
      <c r="F183" t="s">
        <v>3760</v>
      </c>
      <c r="G183" t="s">
        <v>3761</v>
      </c>
      <c r="H183" s="194">
        <f>SUMIF(주문_리스트!C:C,거래처!B183,주문_리스트!K:K)+SUMIF(주문_리스트!C:C,거래처!B183,주문_리스트!L:L)</f>
        <v>0</v>
      </c>
      <c r="I183" s="52" t="s">
        <v>3516</v>
      </c>
    </row>
    <row r="184" spans="1:11" x14ac:dyDescent="0.3">
      <c r="A184" s="47">
        <v>183</v>
      </c>
      <c r="B184" t="s">
        <v>3497</v>
      </c>
      <c r="C184" t="s">
        <v>3498</v>
      </c>
      <c r="E184" t="s">
        <v>3502</v>
      </c>
      <c r="F184" t="s">
        <v>973</v>
      </c>
      <c r="H184" s="194">
        <v>0</v>
      </c>
      <c r="I184" s="52" t="s">
        <v>3516</v>
      </c>
    </row>
    <row r="185" spans="1:11" x14ac:dyDescent="0.3">
      <c r="A185" s="47">
        <v>184</v>
      </c>
      <c r="B185" t="s">
        <v>3569</v>
      </c>
      <c r="C185" t="s">
        <v>3570</v>
      </c>
      <c r="E185" t="s">
        <v>3571</v>
      </c>
      <c r="F185" t="s">
        <v>963</v>
      </c>
      <c r="G185" t="s">
        <v>3572</v>
      </c>
      <c r="H185" s="194">
        <f>SUMIF(주문_리스트!C:C,거래처!B185,주문_리스트!K:K)+SUMIF(주문_리스트!C:C,거래처!B185,주문_리스트!L:L)</f>
        <v>0</v>
      </c>
      <c r="J185" t="s">
        <v>3613</v>
      </c>
    </row>
    <row r="186" spans="1:11" x14ac:dyDescent="0.3">
      <c r="A186" s="47">
        <v>185</v>
      </c>
      <c r="B186" t="s">
        <v>3628</v>
      </c>
      <c r="C186" t="s">
        <v>3629</v>
      </c>
      <c r="E186" t="s">
        <v>3630</v>
      </c>
      <c r="F186" t="s">
        <v>1180</v>
      </c>
      <c r="G186" t="s">
        <v>3627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3719</v>
      </c>
      <c r="C187" t="s">
        <v>3720</v>
      </c>
      <c r="E187" t="s">
        <v>3721</v>
      </c>
      <c r="F187" t="s">
        <v>1180</v>
      </c>
      <c r="G187" t="s">
        <v>3722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3814</v>
      </c>
      <c r="C188" t="s">
        <v>3815</v>
      </c>
      <c r="E188" t="s">
        <v>3816</v>
      </c>
      <c r="F188" t="s">
        <v>1180</v>
      </c>
      <c r="G188" t="s">
        <v>3816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3879</v>
      </c>
      <c r="C189" t="s">
        <v>3880</v>
      </c>
      <c r="E189" t="s">
        <v>3881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3898</v>
      </c>
    </row>
    <row r="190" spans="1:11" x14ac:dyDescent="0.3">
      <c r="A190" s="47">
        <v>189</v>
      </c>
      <c r="B190" t="s">
        <v>3904</v>
      </c>
      <c r="C190" t="s">
        <v>3905</v>
      </c>
      <c r="E190" t="s">
        <v>3906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3921</v>
      </c>
      <c r="C191" t="s">
        <v>3922</v>
      </c>
      <c r="E191" t="s">
        <v>3923</v>
      </c>
      <c r="F191" t="s">
        <v>976</v>
      </c>
      <c r="G191" t="s">
        <v>3924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3935</v>
      </c>
      <c r="C192" t="s">
        <v>3936</v>
      </c>
      <c r="E192" t="s">
        <v>3937</v>
      </c>
      <c r="F192" t="s">
        <v>963</v>
      </c>
      <c r="G192" t="s">
        <v>3938</v>
      </c>
      <c r="H192" s="194">
        <f>SUMIF(주문_리스트!C:C,거래처!B192,주문_리스트!K:K)+SUMIF(주문_리스트!C:C,거래처!B192,주문_리스트!L:L)</f>
        <v>0</v>
      </c>
      <c r="J192" t="s">
        <v>2859</v>
      </c>
    </row>
    <row r="193" spans="1:11" x14ac:dyDescent="0.3">
      <c r="A193" s="47">
        <v>192</v>
      </c>
      <c r="B193" t="s">
        <v>3960</v>
      </c>
      <c r="C193" t="s">
        <v>3961</v>
      </c>
      <c r="E193" t="s">
        <v>3962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3992</v>
      </c>
      <c r="C194" t="s">
        <v>3993</v>
      </c>
      <c r="E194" t="s">
        <v>3994</v>
      </c>
      <c r="F194" t="s">
        <v>3995</v>
      </c>
      <c r="G194" t="s">
        <v>3996</v>
      </c>
      <c r="H194" s="194">
        <f>SUMIF(주문_리스트!C:C,거래처!B194,주문_리스트!K:K)+SUMIF(주문_리스트!C:C,거래처!B194,주문_리스트!L:L)</f>
        <v>0</v>
      </c>
      <c r="K194" t="s">
        <v>4016</v>
      </c>
    </row>
    <row r="195" spans="1:11" x14ac:dyDescent="0.3">
      <c r="A195" s="47">
        <v>195</v>
      </c>
      <c r="B195" t="s">
        <v>4051</v>
      </c>
      <c r="C195" t="s">
        <v>4052</v>
      </c>
      <c r="E195" t="s">
        <v>4053</v>
      </c>
      <c r="F195" t="s">
        <v>963</v>
      </c>
      <c r="G195" t="s">
        <v>4054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4055</v>
      </c>
      <c r="C196" t="s">
        <v>4056</v>
      </c>
      <c r="E196" t="s">
        <v>4057</v>
      </c>
      <c r="F196" t="s">
        <v>1180</v>
      </c>
      <c r="G196" t="s">
        <v>4058</v>
      </c>
      <c r="H196" s="194">
        <f>SUMIF(주문_리스트!C:C,거래처!B196,주문_리스트!K:K)+SUMIF(주문_리스트!C:C,거래처!B196,주문_리스트!L:L)</f>
        <v>0</v>
      </c>
      <c r="J196" t="s">
        <v>4148</v>
      </c>
    </row>
    <row r="197" spans="1:11" x14ac:dyDescent="0.3">
      <c r="A197" s="47">
        <v>197</v>
      </c>
      <c r="B197" t="s">
        <v>4080</v>
      </c>
      <c r="C197" t="s">
        <v>4081</v>
      </c>
      <c r="E197" t="s">
        <v>4082</v>
      </c>
      <c r="F197" t="s">
        <v>963</v>
      </c>
      <c r="G197" t="s">
        <v>4083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4099</v>
      </c>
      <c r="C198" t="s">
        <v>4100</v>
      </c>
      <c r="E198" t="s">
        <v>4101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4158</v>
      </c>
      <c r="C199" t="s">
        <v>4159</v>
      </c>
      <c r="E199" t="s">
        <v>4160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4209</v>
      </c>
      <c r="C200" t="s">
        <v>4210</v>
      </c>
      <c r="E200" t="s">
        <v>4211</v>
      </c>
      <c r="F200" t="s">
        <v>963</v>
      </c>
      <c r="G200" t="s">
        <v>4212</v>
      </c>
      <c r="H200" s="194">
        <f>SUMIF(주문_리스트!C:C,거래처!B200,주문_리스트!K:K)+SUMIF(주문_리스트!C:C,거래처!B200,주문_리스트!L:L)</f>
        <v>0</v>
      </c>
      <c r="J200" t="s">
        <v>4322</v>
      </c>
    </row>
    <row r="201" spans="1:11" x14ac:dyDescent="0.3">
      <c r="A201" s="47">
        <v>201</v>
      </c>
      <c r="B201" t="s">
        <v>4308</v>
      </c>
      <c r="C201" t="s">
        <v>4309</v>
      </c>
      <c r="E201" t="s">
        <v>4310</v>
      </c>
      <c r="F201" t="s">
        <v>973</v>
      </c>
      <c r="H201" s="194">
        <f>SUMIF(주문_리스트!C:C,거래처!B201,주문_리스트!K:K)+SUMIF(주문_리스트!C:C,거래처!B201,주문_리스트!L:L)</f>
        <v>2000000</v>
      </c>
      <c r="I201" s="52" t="s">
        <v>4319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7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1604</v>
      </c>
      <c r="H1" s="51" t="s">
        <v>1826</v>
      </c>
      <c r="I1" s="51" t="s">
        <v>4</v>
      </c>
      <c r="J1" s="97">
        <v>261</v>
      </c>
    </row>
    <row r="2" spans="1:11" x14ac:dyDescent="0.3">
      <c r="A2">
        <v>1</v>
      </c>
      <c r="B2">
        <v>2</v>
      </c>
      <c r="C2" s="288">
        <v>28120504</v>
      </c>
      <c r="D2" s="288" t="s">
        <v>2515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2191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1948</v>
      </c>
      <c r="D5" s="288" t="s">
        <v>1947</v>
      </c>
      <c r="E5" s="288" t="s">
        <v>1948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1636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1605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1739</v>
      </c>
      <c r="F8" s="52">
        <v>650000</v>
      </c>
      <c r="H8">
        <f>SUMIF(재고!D:D,제품!D8,재고!F:F)-SUMIF(주문_리스트!E:E,제품!D8,주문_리스트!H:H)</f>
        <v>-55</v>
      </c>
      <c r="I8"/>
    </row>
    <row r="9" spans="1:11" x14ac:dyDescent="0.3">
      <c r="A9">
        <v>8</v>
      </c>
      <c r="B9">
        <v>2</v>
      </c>
      <c r="C9" s="288" t="s">
        <v>3840</v>
      </c>
      <c r="D9" s="288" t="s">
        <v>1140</v>
      </c>
      <c r="E9" s="288" t="s">
        <v>3840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2518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1637</v>
      </c>
      <c r="K14">
        <v>75000</v>
      </c>
    </row>
    <row r="15" spans="1:11" x14ac:dyDescent="0.3">
      <c r="A15">
        <v>14</v>
      </c>
      <c r="B15">
        <v>2</v>
      </c>
      <c r="C15" s="288" t="s">
        <v>3985</v>
      </c>
      <c r="D15" s="288" t="s">
        <v>1650</v>
      </c>
      <c r="E15" s="288" t="s">
        <v>3985</v>
      </c>
      <c r="F15" s="52">
        <v>1100000</v>
      </c>
      <c r="H15">
        <v>-7</v>
      </c>
      <c r="I15" s="52" t="s">
        <v>3660</v>
      </c>
    </row>
    <row r="16" spans="1:11" x14ac:dyDescent="0.3">
      <c r="A16">
        <v>15</v>
      </c>
      <c r="B16">
        <v>2</v>
      </c>
      <c r="C16" s="288">
        <v>2830506</v>
      </c>
      <c r="D16" s="288" t="s">
        <v>2678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2682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-25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2199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2197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1648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2181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2193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-10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2193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-10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2182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2176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-93</v>
      </c>
    </row>
    <row r="27" spans="1:9" x14ac:dyDescent="0.3">
      <c r="A27">
        <v>26</v>
      </c>
      <c r="B27">
        <v>3</v>
      </c>
      <c r="C27" s="288" t="s">
        <v>1990</v>
      </c>
      <c r="D27" s="288" t="s">
        <v>1641</v>
      </c>
      <c r="E27" s="288" t="s">
        <v>1990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-118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-36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-36</v>
      </c>
    </row>
    <row r="31" spans="1:9" x14ac:dyDescent="0.3">
      <c r="A31">
        <v>30</v>
      </c>
      <c r="B31">
        <v>3</v>
      </c>
      <c r="C31" s="288" t="s">
        <v>1756</v>
      </c>
      <c r="D31" s="288" t="s">
        <v>3461</v>
      </c>
      <c r="E31" s="288" t="s">
        <v>1756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2462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2572</v>
      </c>
      <c r="D34" s="288" t="s">
        <v>2573</v>
      </c>
      <c r="E34" s="288" t="s">
        <v>2572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2175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1642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1362</v>
      </c>
      <c r="E37" s="288" t="s">
        <v>1363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1253</v>
      </c>
      <c r="D38" s="288" t="s">
        <v>1254</v>
      </c>
      <c r="E38" s="288" t="s">
        <v>1253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1674</v>
      </c>
      <c r="D39" s="288" t="s">
        <v>2184</v>
      </c>
      <c r="E39" s="288" t="s">
        <v>1674</v>
      </c>
      <c r="F39" s="52">
        <v>130000</v>
      </c>
      <c r="G39" s="52">
        <v>90000</v>
      </c>
      <c r="H39">
        <f>SUMIF(재고!D:D,제품!D39,재고!F:F)-SUMIF(주문_리스트!E:E,제품!D39,주문_리스트!H:H)</f>
        <v>-39</v>
      </c>
    </row>
    <row r="40" spans="1:8" x14ac:dyDescent="0.3">
      <c r="A40">
        <v>39</v>
      </c>
      <c r="B40">
        <v>2</v>
      </c>
      <c r="C40" s="288" t="s">
        <v>1723</v>
      </c>
      <c r="D40" s="288" t="s">
        <v>1724</v>
      </c>
      <c r="E40" s="288" t="s">
        <v>1723</v>
      </c>
      <c r="F40" s="52">
        <v>50000</v>
      </c>
      <c r="H40">
        <f>SUMIF(재고!D:D,제품!D40,재고!F:F)-SUMIF(주문_리스트!E:E,제품!D40,주문_리스트!H:H)</f>
        <v>-54</v>
      </c>
    </row>
    <row r="41" spans="1:8" x14ac:dyDescent="0.3">
      <c r="A41">
        <v>40</v>
      </c>
      <c r="B41">
        <v>2</v>
      </c>
      <c r="D41" s="288" t="s">
        <v>1376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1466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1476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1482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2200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2185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2716</v>
      </c>
      <c r="D47" s="288" t="s">
        <v>2334</v>
      </c>
      <c r="E47" s="288" t="s">
        <v>2716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1502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1515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1520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1531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1813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1814</v>
      </c>
    </row>
    <row r="55" spans="1:9" x14ac:dyDescent="0.3">
      <c r="A55">
        <v>54</v>
      </c>
      <c r="B55">
        <v>10</v>
      </c>
      <c r="D55" s="288" t="s">
        <v>1551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1643</v>
      </c>
      <c r="D56" s="288" t="s">
        <v>1966</v>
      </c>
      <c r="E56" s="288" t="s">
        <v>1643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1422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-36</v>
      </c>
    </row>
    <row r="58" spans="1:9" x14ac:dyDescent="0.3">
      <c r="A58">
        <v>57</v>
      </c>
      <c r="B58">
        <v>3</v>
      </c>
      <c r="C58" s="288" t="s">
        <v>2744</v>
      </c>
      <c r="D58" s="288" t="s">
        <v>2202</v>
      </c>
      <c r="E58" s="288" t="s">
        <v>2744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1645</v>
      </c>
      <c r="D59" s="288" t="s">
        <v>1644</v>
      </c>
      <c r="E59" s="288" t="s">
        <v>1645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1646</v>
      </c>
      <c r="D60" s="288" t="s">
        <v>1647</v>
      </c>
      <c r="E60" s="288" t="s">
        <v>1646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2680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2518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2519</v>
      </c>
    </row>
    <row r="63" spans="1:9" x14ac:dyDescent="0.3">
      <c r="A63">
        <v>62</v>
      </c>
      <c r="C63" s="288" t="s">
        <v>1622</v>
      </c>
      <c r="D63" s="288" t="s">
        <v>1623</v>
      </c>
      <c r="E63" s="288" t="s">
        <v>1622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1625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1632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2186</v>
      </c>
      <c r="E66" s="288">
        <v>50228</v>
      </c>
      <c r="F66" s="52">
        <v>110000</v>
      </c>
      <c r="H66">
        <f>SUMIF(재고!D:D,제품!D66,재고!F:F)-SUMIF(주문_리스트!E:E,제품!D66,주문_리스트!H:H)</f>
        <v>-53</v>
      </c>
    </row>
    <row r="67" spans="1:9" x14ac:dyDescent="0.3">
      <c r="A67">
        <v>66</v>
      </c>
      <c r="B67">
        <v>4</v>
      </c>
      <c r="C67" s="288">
        <v>50229</v>
      </c>
      <c r="D67" s="288" t="s">
        <v>2186</v>
      </c>
      <c r="E67" s="288">
        <v>50229</v>
      </c>
      <c r="F67" s="52">
        <v>75000</v>
      </c>
      <c r="H67">
        <f>SUMIF(재고!D:D,제품!D67,재고!F:F)-SUMIF(주문_리스트!E:E,제품!D67,주문_리스트!H:H)</f>
        <v>-53</v>
      </c>
    </row>
    <row r="68" spans="1:9" x14ac:dyDescent="0.3">
      <c r="A68">
        <v>67</v>
      </c>
      <c r="D68" s="288" t="s">
        <v>1649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1649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1664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2574</v>
      </c>
      <c r="D72" s="288" t="s">
        <v>2575</v>
      </c>
      <c r="E72" s="288" t="s">
        <v>2574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1675</v>
      </c>
      <c r="D73" s="288" t="s">
        <v>2194</v>
      </c>
      <c r="E73" s="288" t="s">
        <v>1675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1765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1770</v>
      </c>
    </row>
    <row r="75" spans="1:9" x14ac:dyDescent="0.3">
      <c r="A75">
        <v>74</v>
      </c>
      <c r="D75" s="288" t="s">
        <v>1767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1766</v>
      </c>
    </row>
    <row r="76" spans="1:9" x14ac:dyDescent="0.3">
      <c r="A76">
        <v>75</v>
      </c>
      <c r="D76" s="288" t="s">
        <v>2195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1689</v>
      </c>
      <c r="D77" s="288" t="s">
        <v>1704</v>
      </c>
      <c r="E77" s="288" t="s">
        <v>1689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1705</v>
      </c>
    </row>
    <row r="78" spans="1:9" x14ac:dyDescent="0.3">
      <c r="A78">
        <v>77</v>
      </c>
      <c r="D78" s="288" t="s">
        <v>1676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1683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1693</v>
      </c>
    </row>
    <row r="80" spans="1:9" x14ac:dyDescent="0.3">
      <c r="A80">
        <v>79</v>
      </c>
      <c r="D80" s="288" t="s">
        <v>2196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1677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1678</v>
      </c>
    </row>
    <row r="82" spans="1:9" x14ac:dyDescent="0.3">
      <c r="A82">
        <v>81</v>
      </c>
      <c r="B82">
        <v>2</v>
      </c>
      <c r="D82" s="288" t="s">
        <v>1687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1697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1698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1702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1</v>
      </c>
      <c r="C85" s="288" t="s">
        <v>2746</v>
      </c>
      <c r="D85" s="288" t="s">
        <v>2733</v>
      </c>
      <c r="E85" s="288" t="s">
        <v>2746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1700</v>
      </c>
      <c r="D86" s="288" t="s">
        <v>1701</v>
      </c>
      <c r="E86" s="288" t="s">
        <v>1700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1711</v>
      </c>
      <c r="D87" s="288" t="s">
        <v>1712</v>
      </c>
      <c r="E87" s="288" t="s">
        <v>1711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1719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1720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1714</v>
      </c>
      <c r="D90" s="288" t="s">
        <v>4028</v>
      </c>
      <c r="E90" s="288" t="s">
        <v>1714</v>
      </c>
      <c r="F90" s="52">
        <v>250000</v>
      </c>
      <c r="G90" s="52">
        <v>45000</v>
      </c>
      <c r="H90">
        <v>-8</v>
      </c>
      <c r="I90" s="52" t="s">
        <v>4029</v>
      </c>
    </row>
    <row r="91" spans="1:9" x14ac:dyDescent="0.3">
      <c r="A91">
        <v>90</v>
      </c>
      <c r="B91">
        <v>3</v>
      </c>
      <c r="C91" s="288" t="s">
        <v>1716</v>
      </c>
      <c r="D91" s="288" t="s">
        <v>2179</v>
      </c>
      <c r="E91" s="288" t="s">
        <v>1716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1726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1728</v>
      </c>
      <c r="D93" s="288" t="s">
        <v>2187</v>
      </c>
      <c r="E93" s="288" t="s">
        <v>1728</v>
      </c>
      <c r="F93" s="52">
        <v>30000</v>
      </c>
      <c r="G93" s="52">
        <v>16000</v>
      </c>
      <c r="H93">
        <f>SUMIF(재고!D:D,제품!D93,재고!F:F)-SUMIF(주문_리스트!E:E,제품!D93,주문_리스트!H:H)</f>
        <v>-47</v>
      </c>
    </row>
    <row r="94" spans="1:9" x14ac:dyDescent="0.3">
      <c r="A94">
        <v>93</v>
      </c>
      <c r="B94">
        <v>3</v>
      </c>
      <c r="C94" s="288" t="s">
        <v>1729</v>
      </c>
      <c r="D94" s="288" t="s">
        <v>2188</v>
      </c>
      <c r="E94" s="288" t="s">
        <v>1729</v>
      </c>
      <c r="F94" s="52">
        <v>10000</v>
      </c>
      <c r="G94" s="52">
        <v>8500</v>
      </c>
      <c r="H94">
        <f>SUMIF(재고!D:D,제품!D94,재고!F:F)-SUMIF(주문_리스트!E:E,제품!D94,주문_리스트!H:H)</f>
        <v>-57</v>
      </c>
      <c r="I94" s="52" t="s">
        <v>1777</v>
      </c>
    </row>
    <row r="95" spans="1:9" x14ac:dyDescent="0.3">
      <c r="A95">
        <v>94</v>
      </c>
      <c r="B95">
        <v>3</v>
      </c>
      <c r="C95" s="288" t="s">
        <v>1778</v>
      </c>
      <c r="D95" s="288" t="s">
        <v>2189</v>
      </c>
      <c r="E95" s="288" t="s">
        <v>1778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1730</v>
      </c>
      <c r="D96" s="288" t="s">
        <v>1731</v>
      </c>
      <c r="E96" s="288" t="s">
        <v>1730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1732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2830</v>
      </c>
      <c r="D98" s="288" t="s">
        <v>2494</v>
      </c>
      <c r="E98" s="288" t="s">
        <v>2830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1734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1736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1737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1736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1738</v>
      </c>
    </row>
    <row r="102" spans="1:9" x14ac:dyDescent="0.3">
      <c r="A102">
        <v>101</v>
      </c>
      <c r="B102">
        <v>3</v>
      </c>
      <c r="C102" s="288" t="s">
        <v>1751</v>
      </c>
      <c r="D102" s="288" t="s">
        <v>2177</v>
      </c>
      <c r="E102" s="288" t="s">
        <v>1751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1752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1823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1748</v>
      </c>
      <c r="D104" s="288" t="s">
        <v>1202</v>
      </c>
      <c r="E104" s="288" t="s">
        <v>1748</v>
      </c>
      <c r="F104" s="52">
        <v>1200000</v>
      </c>
      <c r="H104">
        <f>SUMIF(재고!D:D,제품!D104,재고!F:F)-SUMIF(주문_리스트!E:E,제품!D104,주문_리스트!H:H)</f>
        <v>-118</v>
      </c>
      <c r="I104" s="52" t="s">
        <v>1749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1754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1753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2084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1759</v>
      </c>
      <c r="D107" s="288" t="s">
        <v>1760</v>
      </c>
      <c r="E107" s="288" t="s">
        <v>1759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1761</v>
      </c>
    </row>
    <row r="108" spans="1:9" x14ac:dyDescent="0.3">
      <c r="A108">
        <v>107</v>
      </c>
      <c r="B108">
        <v>12</v>
      </c>
      <c r="C108" s="288" t="s">
        <v>1762</v>
      </c>
      <c r="D108" s="288" t="s">
        <v>1760</v>
      </c>
      <c r="E108" s="288" t="s">
        <v>1762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1763</v>
      </c>
    </row>
    <row r="109" spans="1:9" x14ac:dyDescent="0.3">
      <c r="A109">
        <v>108</v>
      </c>
      <c r="B109">
        <v>1</v>
      </c>
      <c r="C109" s="288" t="s">
        <v>1764</v>
      </c>
      <c r="D109" s="288" t="s">
        <v>1557</v>
      </c>
      <c r="E109" s="288" t="s">
        <v>1764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1811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-14</v>
      </c>
      <c r="I110" s="52" t="s">
        <v>1812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2234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2232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1811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-14</v>
      </c>
      <c r="I112" s="52" t="s">
        <v>1816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1545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1815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1825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1847</v>
      </c>
      <c r="D115" s="288" t="s">
        <v>1848</v>
      </c>
      <c r="E115" s="288" t="s">
        <v>1847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1850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2518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2820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1869</v>
      </c>
      <c r="D118" s="288" t="s">
        <v>1870</v>
      </c>
      <c r="E118" s="288" t="s">
        <v>1869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1871</v>
      </c>
    </row>
    <row r="119" spans="1:9" x14ac:dyDescent="0.3">
      <c r="A119">
        <v>118</v>
      </c>
      <c r="B119">
        <v>3</v>
      </c>
      <c r="D119" s="288" t="s">
        <v>1889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4152</v>
      </c>
      <c r="D120" s="288" t="s">
        <v>4153</v>
      </c>
      <c r="E120" s="288" t="s">
        <v>4152</v>
      </c>
      <c r="F120" s="52">
        <v>15000</v>
      </c>
      <c r="G120" s="52">
        <v>8000</v>
      </c>
      <c r="H120">
        <v>0</v>
      </c>
      <c r="I120" s="52" t="s">
        <v>1907</v>
      </c>
    </row>
    <row r="121" spans="1:9" x14ac:dyDescent="0.3">
      <c r="A121">
        <v>120</v>
      </c>
      <c r="B121">
        <v>2</v>
      </c>
      <c r="C121" s="288" t="s">
        <v>4150</v>
      </c>
      <c r="D121" s="288" t="s">
        <v>4151</v>
      </c>
      <c r="E121" s="288" t="s">
        <v>4150</v>
      </c>
      <c r="F121" s="52">
        <v>15000</v>
      </c>
      <c r="G121" s="52">
        <v>8000</v>
      </c>
      <c r="H121">
        <v>0</v>
      </c>
      <c r="I121" s="52" t="s">
        <v>1908</v>
      </c>
    </row>
    <row r="122" spans="1:9" x14ac:dyDescent="0.3">
      <c r="A122">
        <v>121</v>
      </c>
      <c r="B122">
        <v>4</v>
      </c>
      <c r="C122" s="288" t="s">
        <v>2050</v>
      </c>
      <c r="D122" s="288" t="s">
        <v>2051</v>
      </c>
      <c r="E122" s="288" t="s">
        <v>2050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1915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1919</v>
      </c>
      <c r="D124" s="288" t="s">
        <v>1577</v>
      </c>
      <c r="E124" s="288" t="s">
        <v>1919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1935</v>
      </c>
      <c r="D125" s="288" t="s">
        <v>1936</v>
      </c>
      <c r="E125" s="288" t="s">
        <v>1935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1937</v>
      </c>
    </row>
    <row r="126" spans="1:9" x14ac:dyDescent="0.3">
      <c r="A126">
        <v>125</v>
      </c>
      <c r="B126">
        <v>12</v>
      </c>
      <c r="C126" s="288" t="s">
        <v>1933</v>
      </c>
      <c r="D126" s="288" t="s">
        <v>1934</v>
      </c>
      <c r="E126" s="288" t="s">
        <v>1933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2518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1946</v>
      </c>
      <c r="D128" s="288" t="s">
        <v>1945</v>
      </c>
      <c r="E128" s="288" t="s">
        <v>1946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1949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1955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2190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1979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1981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1988</v>
      </c>
      <c r="D134" s="288" t="s">
        <v>1204</v>
      </c>
      <c r="E134" s="288" t="s">
        <v>1988</v>
      </c>
      <c r="F134" s="52">
        <v>1700000</v>
      </c>
      <c r="H134">
        <f>SUMIF(재고!D:D,제품!D134,재고!F:F)-SUMIF(주문_리스트!E:E,제품!D134,주문_리스트!H:H)</f>
        <v>-36</v>
      </c>
    </row>
    <row r="135" spans="1:8" x14ac:dyDescent="0.3">
      <c r="A135">
        <v>134</v>
      </c>
      <c r="B135">
        <v>14</v>
      </c>
      <c r="D135" s="288" t="s">
        <v>2006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2018</v>
      </c>
      <c r="D136" s="288" t="s">
        <v>2019</v>
      </c>
      <c r="E136" s="288" t="s">
        <v>2018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2025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2028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3841</v>
      </c>
      <c r="D139" s="288" t="s">
        <v>2681</v>
      </c>
      <c r="E139" s="288" t="s">
        <v>3841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3573</v>
      </c>
      <c r="D140" s="288" t="s">
        <v>2679</v>
      </c>
      <c r="E140" s="288" t="s">
        <v>3573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2045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1907</v>
      </c>
      <c r="D142" s="288" t="s">
        <v>2136</v>
      </c>
      <c r="E142" s="288" t="s">
        <v>1907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2056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2083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3986</v>
      </c>
      <c r="D145" s="288" t="s">
        <v>2207</v>
      </c>
      <c r="E145" s="288" t="s">
        <v>3986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2104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2578</v>
      </c>
      <c r="D147" s="288" t="s">
        <v>2337</v>
      </c>
      <c r="E147" s="288" t="s">
        <v>2578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3762</v>
      </c>
      <c r="D148" s="288" t="s">
        <v>2679</v>
      </c>
      <c r="E148" s="288" t="s">
        <v>3762</v>
      </c>
      <c r="H148">
        <v>-3</v>
      </c>
    </row>
    <row r="149" spans="1:9" x14ac:dyDescent="0.3">
      <c r="A149">
        <v>148</v>
      </c>
      <c r="B149">
        <v>2</v>
      </c>
      <c r="D149" s="288" t="s">
        <v>2122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2123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2683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3574</v>
      </c>
      <c r="D152" s="288" t="s">
        <v>2514</v>
      </c>
      <c r="E152" s="288" t="s">
        <v>3574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2152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2690</v>
      </c>
    </row>
    <row r="154" spans="1:9" x14ac:dyDescent="0.3">
      <c r="A154">
        <v>153</v>
      </c>
      <c r="B154">
        <v>3</v>
      </c>
      <c r="D154" s="288" t="s">
        <v>2154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2156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2518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2577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2226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2237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2252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4084</v>
      </c>
      <c r="D162" s="288" t="s">
        <v>2268</v>
      </c>
      <c r="E162" s="288" t="s">
        <v>4084</v>
      </c>
      <c r="F162" s="52">
        <v>80000</v>
      </c>
      <c r="G162" s="52">
        <v>45000</v>
      </c>
      <c r="H162">
        <v>-1</v>
      </c>
      <c r="I162" s="52" t="s">
        <v>4085</v>
      </c>
    </row>
    <row r="163" spans="1:9" x14ac:dyDescent="0.3">
      <c r="A163">
        <v>162</v>
      </c>
      <c r="C163" s="288">
        <v>1087327175</v>
      </c>
      <c r="D163" s="288" t="s">
        <v>2266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2267</v>
      </c>
    </row>
    <row r="164" spans="1:9" x14ac:dyDescent="0.3">
      <c r="A164">
        <v>163</v>
      </c>
      <c r="B164">
        <v>3</v>
      </c>
      <c r="C164" s="288" t="s">
        <v>2269</v>
      </c>
      <c r="D164" s="288" t="s">
        <v>2270</v>
      </c>
      <c r="E164" s="288" t="s">
        <v>2269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2469</v>
      </c>
      <c r="D165" s="288" t="s">
        <v>2470</v>
      </c>
      <c r="E165" s="288" t="s">
        <v>2469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2518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2286</v>
      </c>
      <c r="F167" s="52">
        <v>1600000</v>
      </c>
      <c r="H167">
        <f>SUMIF(재고!D:D,제품!D167,재고!F:F)-SUMIF(주문_리스트!E:E,제품!D167,주문_리스트!H:H)</f>
        <v>-14</v>
      </c>
    </row>
    <row r="168" spans="1:9" x14ac:dyDescent="0.3">
      <c r="A168">
        <v>167</v>
      </c>
      <c r="D168" s="288" t="s">
        <v>2314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2295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2518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2323</v>
      </c>
      <c r="D171" s="288" t="s">
        <v>3066</v>
      </c>
      <c r="E171" s="288" t="s">
        <v>2323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2326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2663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2339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2343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2883</v>
      </c>
      <c r="D176" s="288" t="s">
        <v>2884</v>
      </c>
      <c r="E176" s="288" t="s">
        <v>2883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2885</v>
      </c>
    </row>
    <row r="177" spans="1:8" x14ac:dyDescent="0.3">
      <c r="A177">
        <v>176</v>
      </c>
      <c r="D177" s="288" t="s">
        <v>2393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2395</v>
      </c>
      <c r="D178" s="288" t="s">
        <v>2396</v>
      </c>
      <c r="E178" s="288" t="s">
        <v>2395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2400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2413</v>
      </c>
      <c r="D180" s="288" t="s">
        <v>2380</v>
      </c>
      <c r="E180" s="288" t="s">
        <v>2413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2420</v>
      </c>
      <c r="D181" s="288" t="s">
        <v>2421</v>
      </c>
      <c r="E181" s="288" t="s">
        <v>2420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2422</v>
      </c>
      <c r="D182" s="288" t="s">
        <v>2423</v>
      </c>
      <c r="E182" s="288" t="s">
        <v>2422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2451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2495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2509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2508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2561</v>
      </c>
      <c r="D187" s="288" t="s">
        <v>2562</v>
      </c>
      <c r="E187" s="288" t="s">
        <v>2561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2818</v>
      </c>
      <c r="D188" s="288" t="s">
        <v>2819</v>
      </c>
      <c r="E188" s="288" t="s">
        <v>2818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2611</v>
      </c>
      <c r="D189" s="288" t="s">
        <v>2612</v>
      </c>
      <c r="E189" s="288" t="s">
        <v>2611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2618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2647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2685</v>
      </c>
      <c r="D192" s="288" t="s">
        <v>2686</v>
      </c>
      <c r="E192" s="288" t="s">
        <v>2685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2708</v>
      </c>
      <c r="D193" s="288" t="s">
        <v>2709</v>
      </c>
      <c r="E193" s="288" t="s">
        <v>2708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2720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2745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2747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2748</v>
      </c>
    </row>
    <row r="197" spans="1:9" x14ac:dyDescent="0.3">
      <c r="A197">
        <v>196</v>
      </c>
      <c r="B197">
        <v>14</v>
      </c>
      <c r="C197" s="288" t="s">
        <v>2838</v>
      </c>
      <c r="D197" s="288" t="s">
        <v>2839</v>
      </c>
      <c r="E197" s="288" t="s">
        <v>2838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2840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1755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2844</v>
      </c>
      <c r="D199" s="288" t="s">
        <v>2846</v>
      </c>
      <c r="E199" s="288" t="s">
        <v>2844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2918</v>
      </c>
      <c r="D200" s="288" t="s">
        <v>2919</v>
      </c>
      <c r="E200" s="288" t="s">
        <v>2918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4049</v>
      </c>
      <c r="D201" s="288" t="s">
        <v>4050</v>
      </c>
      <c r="E201" s="288" t="s">
        <v>4049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2882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2900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2920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3121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3113</v>
      </c>
      <c r="D206" s="288" t="s">
        <v>3530</v>
      </c>
      <c r="E206" s="288" t="s">
        <v>3113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2950</v>
      </c>
      <c r="D207" s="288" t="s">
        <v>2951</v>
      </c>
      <c r="E207" s="288" t="s">
        <v>2950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2954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2983</v>
      </c>
      <c r="D209" s="288" t="s">
        <v>2984</v>
      </c>
      <c r="E209" s="288" t="s">
        <v>2983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3070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2915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3120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3120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3129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3162</v>
      </c>
      <c r="D215" s="288" t="s">
        <v>2380</v>
      </c>
      <c r="E215" s="288" t="s">
        <v>3162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3564</v>
      </c>
      <c r="D216" s="288" t="s">
        <v>3565</v>
      </c>
      <c r="E216" s="288" t="s">
        <v>3564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3211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3271</v>
      </c>
      <c r="D218" s="288" t="s">
        <v>3212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3272</v>
      </c>
      <c r="D219" s="288" t="s">
        <v>3269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3270</v>
      </c>
    </row>
    <row r="220" spans="1:9" x14ac:dyDescent="0.3">
      <c r="A220">
        <v>219</v>
      </c>
      <c r="B220">
        <v>4</v>
      </c>
      <c r="C220" s="288" t="s">
        <v>3278</v>
      </c>
      <c r="D220" s="288" t="s">
        <v>3279</v>
      </c>
      <c r="E220" s="288" t="s">
        <v>3278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3307</v>
      </c>
      <c r="D221" s="288" t="s">
        <v>3308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3379</v>
      </c>
      <c r="D222" s="288" t="s">
        <v>3380</v>
      </c>
      <c r="E222" s="288" t="s">
        <v>3379</v>
      </c>
      <c r="H222">
        <f>SUMIF(재고!D:D,제품!D222,재고!F:F)-SUMIF(주문_리스트!E:E,제품!D222,주문_리스트!H:H)</f>
        <v>-1</v>
      </c>
      <c r="I222" s="52" t="s">
        <v>3381</v>
      </c>
    </row>
    <row r="223" spans="1:9" x14ac:dyDescent="0.3">
      <c r="A223">
        <v>222</v>
      </c>
      <c r="B223">
        <v>1</v>
      </c>
      <c r="C223" s="288" t="s">
        <v>3409</v>
      </c>
      <c r="D223" s="288" t="s">
        <v>3410</v>
      </c>
      <c r="E223" s="288" t="s">
        <v>3409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3435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3472</v>
      </c>
      <c r="D225" s="288" t="s">
        <v>3473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3517</v>
      </c>
      <c r="D226" s="288" t="s">
        <v>3217</v>
      </c>
      <c r="E226" s="288" t="s">
        <v>3517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3543</v>
      </c>
      <c r="D227" s="288" t="s">
        <v>3544</v>
      </c>
      <c r="E227" s="288" t="s">
        <v>3543</v>
      </c>
    </row>
    <row r="228" spans="1:8" x14ac:dyDescent="0.3">
      <c r="A228">
        <v>227</v>
      </c>
      <c r="B228">
        <v>3</v>
      </c>
      <c r="D228" s="288" t="s">
        <v>3551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3566</v>
      </c>
      <c r="D229" s="288" t="s">
        <v>3567</v>
      </c>
      <c r="E229" s="288" t="s">
        <v>3566</v>
      </c>
      <c r="H229" s="52">
        <v>0</v>
      </c>
    </row>
    <row r="230" spans="1:8" x14ac:dyDescent="0.3">
      <c r="A230">
        <v>229</v>
      </c>
      <c r="B230">
        <v>3</v>
      </c>
      <c r="D230" s="288" t="s">
        <v>3578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3583</v>
      </c>
      <c r="D231" s="288" t="s">
        <v>3584</v>
      </c>
      <c r="E231" s="288" t="s">
        <v>3583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3586</v>
      </c>
      <c r="D232" s="288" t="s">
        <v>3587</v>
      </c>
      <c r="E232" s="288" t="s">
        <v>3586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3588</v>
      </c>
      <c r="D233" s="288" t="s">
        <v>3578</v>
      </c>
      <c r="E233" s="288" t="s">
        <v>3588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3589</v>
      </c>
      <c r="D234" s="288" t="s">
        <v>3590</v>
      </c>
      <c r="E234" s="288" t="s">
        <v>3589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3624</v>
      </c>
      <c r="D235" s="288" t="s">
        <v>3625</v>
      </c>
      <c r="E235" s="288" t="s">
        <v>3624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3821</v>
      </c>
      <c r="D236" s="288" t="s">
        <v>3822</v>
      </c>
      <c r="E236" s="288" t="s">
        <v>3821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3833</v>
      </c>
      <c r="D237" s="288" t="s">
        <v>3833</v>
      </c>
      <c r="E237" s="288" t="s">
        <v>3834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3847</v>
      </c>
      <c r="E238" s="288" t="s">
        <v>3848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3872</v>
      </c>
      <c r="D239" s="288" t="s">
        <v>3873</v>
      </c>
      <c r="E239" s="288" t="s">
        <v>3872</v>
      </c>
    </row>
    <row r="240" spans="1:8" x14ac:dyDescent="0.3">
      <c r="A240">
        <v>243</v>
      </c>
      <c r="B240">
        <v>4</v>
      </c>
      <c r="C240" s="288" t="s">
        <v>3914</v>
      </c>
      <c r="D240" s="288" t="s">
        <v>3915</v>
      </c>
      <c r="E240" s="288" t="s">
        <v>3914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3978</v>
      </c>
      <c r="D245" s="288" t="s">
        <v>3979</v>
      </c>
      <c r="E245" s="288" t="s">
        <v>3978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4001</v>
      </c>
      <c r="D246" s="288" t="s">
        <v>2915</v>
      </c>
      <c r="E246" s="288" t="s">
        <v>4001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4004</v>
      </c>
      <c r="D247" s="288" t="s">
        <v>4005</v>
      </c>
      <c r="E247" s="288" t="s">
        <v>4004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4025</v>
      </c>
      <c r="D248" s="288" t="s">
        <v>4026</v>
      </c>
      <c r="E248" s="288" t="s">
        <v>4025</v>
      </c>
      <c r="F248" s="52">
        <v>100000</v>
      </c>
      <c r="G248" s="52">
        <v>45000</v>
      </c>
      <c r="I248" s="52" t="s">
        <v>2221</v>
      </c>
    </row>
    <row r="249" spans="1:9" x14ac:dyDescent="0.3">
      <c r="A249">
        <v>252</v>
      </c>
      <c r="B249">
        <v>16</v>
      </c>
      <c r="C249" s="288" t="s">
        <v>4043</v>
      </c>
      <c r="D249" s="288" t="s">
        <v>4044</v>
      </c>
      <c r="E249" s="288" t="s">
        <v>4043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1948</v>
      </c>
      <c r="D250" s="288" t="s">
        <v>4048</v>
      </c>
      <c r="E250" s="288" t="s">
        <v>1948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4104</v>
      </c>
      <c r="D251" s="288" t="s">
        <v>2915</v>
      </c>
      <c r="E251" s="288" t="s">
        <v>4104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4115</v>
      </c>
      <c r="D252" s="288" t="s">
        <v>4116</v>
      </c>
      <c r="E252" s="288" t="s">
        <v>4115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4177</v>
      </c>
      <c r="D253" s="288" t="s">
        <v>2380</v>
      </c>
      <c r="E253" s="288" t="s">
        <v>4177</v>
      </c>
      <c r="I253" s="52" t="s">
        <v>4178</v>
      </c>
    </row>
    <row r="254" spans="1:9" x14ac:dyDescent="0.3">
      <c r="A254">
        <v>257</v>
      </c>
      <c r="B254">
        <v>3</v>
      </c>
      <c r="C254" s="288" t="s">
        <v>4197</v>
      </c>
      <c r="D254" s="288" t="s">
        <v>3120</v>
      </c>
      <c r="E254" s="288" t="s">
        <v>4197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4262</v>
      </c>
      <c r="D255" s="288" t="s">
        <v>4263</v>
      </c>
      <c r="E255" s="288" t="s">
        <v>4262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4277</v>
      </c>
      <c r="D256" s="288" t="s">
        <v>1204</v>
      </c>
      <c r="E256" s="288" t="s">
        <v>4277</v>
      </c>
      <c r="F256" s="52">
        <v>1200000</v>
      </c>
    </row>
    <row r="257" spans="1:6" x14ac:dyDescent="0.3">
      <c r="A257">
        <v>260</v>
      </c>
      <c r="D257" s="288" t="s">
        <v>4316</v>
      </c>
      <c r="F257" s="52">
        <v>1090910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2515</v>
      </c>
      <c r="E2" s="190">
        <v>28120504</v>
      </c>
    </row>
    <row r="3" spans="1:8" x14ac:dyDescent="0.3">
      <c r="A3">
        <v>2</v>
      </c>
      <c r="B3" s="13"/>
      <c r="C3" s="190"/>
      <c r="D3" s="190" t="s">
        <v>2191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1947</v>
      </c>
      <c r="E5" s="190" t="s">
        <v>1948</v>
      </c>
    </row>
    <row r="6" spans="1:8" x14ac:dyDescent="0.3">
      <c r="A6">
        <v>5</v>
      </c>
      <c r="C6" s="190"/>
      <c r="D6" s="190" t="s">
        <v>1636</v>
      </c>
    </row>
    <row r="7" spans="1:8" x14ac:dyDescent="0.3">
      <c r="A7">
        <v>6</v>
      </c>
      <c r="C7" s="190"/>
      <c r="D7" s="190" t="s">
        <v>1605</v>
      </c>
    </row>
    <row r="8" spans="1:8" x14ac:dyDescent="0.3">
      <c r="A8">
        <v>7</v>
      </c>
      <c r="C8" s="190"/>
      <c r="D8" s="190" t="s">
        <v>1739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2917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2518</v>
      </c>
      <c r="E14" s="190">
        <v>415054509</v>
      </c>
    </row>
    <row r="15" spans="1:8" x14ac:dyDescent="0.3">
      <c r="A15">
        <v>14</v>
      </c>
      <c r="D15" s="190" t="s">
        <v>1650</v>
      </c>
      <c r="E15" s="190">
        <v>2830402</v>
      </c>
    </row>
    <row r="16" spans="1:8" x14ac:dyDescent="0.3">
      <c r="A16">
        <v>15</v>
      </c>
      <c r="D16" s="190" t="s">
        <v>2678</v>
      </c>
      <c r="E16" s="190">
        <v>2830506</v>
      </c>
    </row>
    <row r="17" spans="1:5" x14ac:dyDescent="0.3">
      <c r="A17">
        <v>16</v>
      </c>
      <c r="D17" s="190" t="s">
        <v>2682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2199</v>
      </c>
    </row>
    <row r="20" spans="1:5" x14ac:dyDescent="0.3">
      <c r="A20">
        <v>19</v>
      </c>
      <c r="D20" s="190" t="s">
        <v>2197</v>
      </c>
    </row>
    <row r="21" spans="1:5" x14ac:dyDescent="0.3">
      <c r="A21">
        <v>20</v>
      </c>
      <c r="D21" s="190" t="s">
        <v>1648</v>
      </c>
    </row>
    <row r="22" spans="1:5" x14ac:dyDescent="0.3">
      <c r="A22">
        <v>21</v>
      </c>
      <c r="D22" s="190" t="s">
        <v>2181</v>
      </c>
    </row>
    <row r="23" spans="1:5" x14ac:dyDescent="0.3">
      <c r="A23">
        <v>22</v>
      </c>
      <c r="D23" s="190" t="s">
        <v>2193</v>
      </c>
      <c r="E23" s="190" t="s">
        <v>1197</v>
      </c>
    </row>
    <row r="24" spans="1:5" x14ac:dyDescent="0.3">
      <c r="A24">
        <v>23</v>
      </c>
      <c r="D24" s="190" t="s">
        <v>2193</v>
      </c>
      <c r="E24" s="190" t="s">
        <v>1198</v>
      </c>
    </row>
    <row r="25" spans="1:5" x14ac:dyDescent="0.3">
      <c r="A25">
        <v>24</v>
      </c>
      <c r="D25" s="190" t="s">
        <v>2182</v>
      </c>
      <c r="E25" s="190" t="s">
        <v>1199</v>
      </c>
    </row>
    <row r="26" spans="1:5" x14ac:dyDescent="0.3">
      <c r="A26">
        <v>25</v>
      </c>
      <c r="D26" s="190" t="s">
        <v>2176</v>
      </c>
      <c r="E26" s="190" t="s">
        <v>1200</v>
      </c>
    </row>
    <row r="27" spans="1:5" x14ac:dyDescent="0.3">
      <c r="A27">
        <v>26</v>
      </c>
      <c r="D27" s="190" t="s">
        <v>1641</v>
      </c>
      <c r="E27" s="190" t="s">
        <v>1990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2212</v>
      </c>
      <c r="E31" s="190" t="s">
        <v>1756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2462</v>
      </c>
      <c r="E33" s="190" t="s">
        <v>1211</v>
      </c>
    </row>
    <row r="34" spans="1:5" x14ac:dyDescent="0.3">
      <c r="A34">
        <v>33</v>
      </c>
      <c r="D34" s="190" t="s">
        <v>2573</v>
      </c>
      <c r="E34" s="190" t="s">
        <v>2572</v>
      </c>
    </row>
    <row r="35" spans="1:5" x14ac:dyDescent="0.3">
      <c r="A35">
        <v>34</v>
      </c>
      <c r="D35" s="190" t="s">
        <v>2175</v>
      </c>
      <c r="E35" s="190" t="s">
        <v>1214</v>
      </c>
    </row>
    <row r="36" spans="1:5" x14ac:dyDescent="0.3">
      <c r="A36">
        <v>35</v>
      </c>
      <c r="D36" s="190" t="s">
        <v>1642</v>
      </c>
      <c r="E36" s="190" t="s">
        <v>1215</v>
      </c>
    </row>
    <row r="37" spans="1:5" x14ac:dyDescent="0.3">
      <c r="A37">
        <v>36</v>
      </c>
      <c r="C37" s="190"/>
      <c r="D37" s="190" t="s">
        <v>1362</v>
      </c>
      <c r="E37" s="190" t="s">
        <v>1363</v>
      </c>
    </row>
    <row r="38" spans="1:5" x14ac:dyDescent="0.3">
      <c r="A38">
        <v>37</v>
      </c>
      <c r="C38" s="190"/>
      <c r="D38" s="190" t="s">
        <v>1254</v>
      </c>
      <c r="E38" s="190" t="s">
        <v>1253</v>
      </c>
    </row>
    <row r="39" spans="1:5" x14ac:dyDescent="0.3">
      <c r="A39">
        <v>38</v>
      </c>
      <c r="D39" s="190" t="s">
        <v>2184</v>
      </c>
      <c r="E39" s="190" t="s">
        <v>1674</v>
      </c>
    </row>
    <row r="40" spans="1:5" x14ac:dyDescent="0.3">
      <c r="A40">
        <v>39</v>
      </c>
      <c r="D40" s="190" t="s">
        <v>1724</v>
      </c>
      <c r="E40" s="190" t="s">
        <v>1723</v>
      </c>
    </row>
    <row r="41" spans="1:5" x14ac:dyDescent="0.3">
      <c r="A41">
        <v>40</v>
      </c>
      <c r="D41" s="190" t="s">
        <v>1376</v>
      </c>
    </row>
    <row r="42" spans="1:5" x14ac:dyDescent="0.3">
      <c r="A42">
        <v>41</v>
      </c>
      <c r="D42" s="190" t="s">
        <v>1466</v>
      </c>
    </row>
    <row r="43" spans="1:5" x14ac:dyDescent="0.3">
      <c r="A43">
        <v>42</v>
      </c>
      <c r="D43" s="190" t="s">
        <v>1476</v>
      </c>
    </row>
    <row r="44" spans="1:5" x14ac:dyDescent="0.3">
      <c r="A44">
        <v>43</v>
      </c>
      <c r="D44" s="190" t="s">
        <v>1482</v>
      </c>
    </row>
    <row r="45" spans="1:5" x14ac:dyDescent="0.3">
      <c r="A45">
        <v>44</v>
      </c>
      <c r="D45" s="190" t="s">
        <v>2200</v>
      </c>
    </row>
    <row r="46" spans="1:5" x14ac:dyDescent="0.3">
      <c r="A46">
        <v>45</v>
      </c>
      <c r="D46" s="190" t="s">
        <v>2185</v>
      </c>
    </row>
    <row r="47" spans="1:5" x14ac:dyDescent="0.3">
      <c r="A47">
        <v>46</v>
      </c>
      <c r="D47" s="190" t="s">
        <v>2334</v>
      </c>
      <c r="E47" s="190" t="s">
        <v>2716</v>
      </c>
    </row>
    <row r="48" spans="1:5" x14ac:dyDescent="0.3">
      <c r="A48">
        <v>47</v>
      </c>
      <c r="D48" s="190" t="s">
        <v>2201</v>
      </c>
    </row>
    <row r="49" spans="1:5" x14ac:dyDescent="0.3">
      <c r="A49">
        <v>48</v>
      </c>
      <c r="D49" s="190" t="s">
        <v>1502</v>
      </c>
    </row>
    <row r="50" spans="1:5" x14ac:dyDescent="0.3">
      <c r="A50">
        <v>49</v>
      </c>
      <c r="D50" s="190" t="s">
        <v>1515</v>
      </c>
    </row>
    <row r="51" spans="1:5" x14ac:dyDescent="0.3">
      <c r="A51">
        <v>50</v>
      </c>
      <c r="D51" s="190" t="s">
        <v>1520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1531</v>
      </c>
    </row>
    <row r="55" spans="1:5" x14ac:dyDescent="0.3">
      <c r="A55">
        <v>54</v>
      </c>
      <c r="D55" s="190" t="s">
        <v>1813</v>
      </c>
      <c r="E55" s="190">
        <v>24152333903</v>
      </c>
    </row>
    <row r="56" spans="1:5" x14ac:dyDescent="0.3">
      <c r="A56">
        <v>55</v>
      </c>
      <c r="D56" s="190" t="s">
        <v>1551</v>
      </c>
    </row>
    <row r="57" spans="1:5" x14ac:dyDescent="0.3">
      <c r="A57">
        <v>56</v>
      </c>
      <c r="D57" s="190" t="s">
        <v>1966</v>
      </c>
      <c r="E57" s="190" t="s">
        <v>1643</v>
      </c>
    </row>
    <row r="58" spans="1:5" x14ac:dyDescent="0.3">
      <c r="A58">
        <v>57</v>
      </c>
      <c r="D58" s="190" t="s">
        <v>1422</v>
      </c>
      <c r="E58" s="190" t="s">
        <v>1209</v>
      </c>
    </row>
    <row r="59" spans="1:5" x14ac:dyDescent="0.3">
      <c r="A59">
        <v>58</v>
      </c>
      <c r="D59" s="190" t="s">
        <v>2202</v>
      </c>
      <c r="E59" s="190" t="s">
        <v>2744</v>
      </c>
    </row>
    <row r="60" spans="1:5" x14ac:dyDescent="0.3">
      <c r="A60">
        <v>59</v>
      </c>
      <c r="D60" s="190" t="s">
        <v>1362</v>
      </c>
      <c r="E60" s="190" t="s">
        <v>1645</v>
      </c>
    </row>
    <row r="61" spans="1:5" x14ac:dyDescent="0.3">
      <c r="A61">
        <v>60</v>
      </c>
      <c r="D61" s="190" t="s">
        <v>1647</v>
      </c>
      <c r="E61" s="190" t="s">
        <v>1646</v>
      </c>
    </row>
    <row r="62" spans="1:5" x14ac:dyDescent="0.3">
      <c r="A62">
        <v>61</v>
      </c>
      <c r="D62" s="190" t="s">
        <v>2680</v>
      </c>
      <c r="E62" s="190">
        <v>2820403</v>
      </c>
    </row>
    <row r="63" spans="1:5" x14ac:dyDescent="0.3">
      <c r="A63">
        <v>62</v>
      </c>
      <c r="D63" s="190" t="s">
        <v>2518</v>
      </c>
      <c r="E63" s="190">
        <v>415090409</v>
      </c>
    </row>
    <row r="64" spans="1:5" x14ac:dyDescent="0.3">
      <c r="A64">
        <v>63</v>
      </c>
      <c r="D64" s="190" t="s">
        <v>1623</v>
      </c>
      <c r="E64" s="190" t="s">
        <v>1622</v>
      </c>
    </row>
    <row r="65" spans="1:5" x14ac:dyDescent="0.3">
      <c r="A65">
        <v>64</v>
      </c>
      <c r="D65" s="190" t="s">
        <v>1625</v>
      </c>
    </row>
    <row r="66" spans="1:5" x14ac:dyDescent="0.3">
      <c r="A66">
        <v>65</v>
      </c>
      <c r="D66" s="190" t="s">
        <v>1632</v>
      </c>
    </row>
    <row r="67" spans="1:5" x14ac:dyDescent="0.3">
      <c r="A67">
        <v>66</v>
      </c>
      <c r="D67" s="190" t="s">
        <v>2186</v>
      </c>
      <c r="E67" s="190">
        <v>50228</v>
      </c>
    </row>
    <row r="68" spans="1:5" x14ac:dyDescent="0.3">
      <c r="A68">
        <v>67</v>
      </c>
      <c r="D68" s="190" t="s">
        <v>2186</v>
      </c>
      <c r="E68" s="190">
        <v>50229</v>
      </c>
    </row>
    <row r="69" spans="1:5" x14ac:dyDescent="0.3">
      <c r="A69">
        <v>68</v>
      </c>
      <c r="D69" s="190" t="s">
        <v>1649</v>
      </c>
    </row>
    <row r="70" spans="1:5" x14ac:dyDescent="0.3">
      <c r="A70">
        <v>69</v>
      </c>
      <c r="D70" s="190" t="s">
        <v>1649</v>
      </c>
    </row>
    <row r="71" spans="1:5" x14ac:dyDescent="0.3">
      <c r="A71">
        <v>70</v>
      </c>
      <c r="D71" s="190" t="s">
        <v>1657</v>
      </c>
    </row>
    <row r="72" spans="1:5" x14ac:dyDescent="0.3">
      <c r="A72">
        <v>71</v>
      </c>
      <c r="D72" s="190" t="s">
        <v>1664</v>
      </c>
    </row>
    <row r="73" spans="1:5" x14ac:dyDescent="0.3">
      <c r="A73">
        <v>72</v>
      </c>
      <c r="D73" s="190" t="s">
        <v>2575</v>
      </c>
      <c r="E73" s="190" t="s">
        <v>2574</v>
      </c>
    </row>
    <row r="74" spans="1:5" x14ac:dyDescent="0.3">
      <c r="A74">
        <v>73</v>
      </c>
      <c r="D74" s="190" t="s">
        <v>2194</v>
      </c>
      <c r="E74" s="190" t="s">
        <v>1675</v>
      </c>
    </row>
    <row r="75" spans="1:5" x14ac:dyDescent="0.3">
      <c r="A75">
        <v>74</v>
      </c>
      <c r="D75" s="190" t="s">
        <v>1765</v>
      </c>
      <c r="E75" s="190">
        <v>28111601</v>
      </c>
    </row>
    <row r="76" spans="1:5" x14ac:dyDescent="0.3">
      <c r="A76">
        <v>75</v>
      </c>
      <c r="D76" s="190" t="s">
        <v>1767</v>
      </c>
    </row>
    <row r="77" spans="1:5" x14ac:dyDescent="0.3">
      <c r="A77">
        <v>76</v>
      </c>
      <c r="D77" s="190" t="s">
        <v>2195</v>
      </c>
    </row>
    <row r="78" spans="1:5" x14ac:dyDescent="0.3">
      <c r="A78">
        <v>77</v>
      </c>
      <c r="D78" s="190" t="s">
        <v>1704</v>
      </c>
      <c r="E78" s="190" t="s">
        <v>1689</v>
      </c>
    </row>
    <row r="79" spans="1:5" x14ac:dyDescent="0.3">
      <c r="A79">
        <v>78</v>
      </c>
      <c r="D79" s="190" t="s">
        <v>1676</v>
      </c>
    </row>
    <row r="80" spans="1:5" x14ac:dyDescent="0.3">
      <c r="A80">
        <v>79</v>
      </c>
      <c r="D80" s="190" t="s">
        <v>1683</v>
      </c>
      <c r="E80" s="190">
        <v>1087298441</v>
      </c>
    </row>
    <row r="81" spans="1:5" x14ac:dyDescent="0.3">
      <c r="A81">
        <v>80</v>
      </c>
      <c r="D81" s="190" t="s">
        <v>2196</v>
      </c>
    </row>
    <row r="82" spans="1:5" x14ac:dyDescent="0.3">
      <c r="A82">
        <v>81</v>
      </c>
      <c r="D82" s="190" t="s">
        <v>1677</v>
      </c>
    </row>
    <row r="83" spans="1:5" x14ac:dyDescent="0.3">
      <c r="A83">
        <v>82</v>
      </c>
      <c r="D83" s="190" t="s">
        <v>1687</v>
      </c>
    </row>
    <row r="84" spans="1:5" x14ac:dyDescent="0.3">
      <c r="A84">
        <v>83</v>
      </c>
      <c r="D84" s="190" t="s">
        <v>1697</v>
      </c>
      <c r="E84" s="190">
        <v>24137542885</v>
      </c>
    </row>
    <row r="85" spans="1:5" x14ac:dyDescent="0.3">
      <c r="A85">
        <v>84</v>
      </c>
      <c r="D85" s="190" t="s">
        <v>1702</v>
      </c>
      <c r="E85" s="190">
        <v>24137519344</v>
      </c>
    </row>
    <row r="86" spans="1:5" x14ac:dyDescent="0.3">
      <c r="A86">
        <v>85</v>
      </c>
      <c r="D86" s="190" t="s">
        <v>2733</v>
      </c>
      <c r="E86" s="190" t="s">
        <v>2746</v>
      </c>
    </row>
    <row r="87" spans="1:5" x14ac:dyDescent="0.3">
      <c r="A87">
        <v>86</v>
      </c>
      <c r="D87" s="190" t="s">
        <v>1701</v>
      </c>
      <c r="E87" s="190" t="s">
        <v>1700</v>
      </c>
    </row>
    <row r="88" spans="1:5" x14ac:dyDescent="0.3">
      <c r="A88">
        <v>87</v>
      </c>
      <c r="D88" s="190" t="s">
        <v>1712</v>
      </c>
      <c r="E88" s="190" t="s">
        <v>1711</v>
      </c>
    </row>
    <row r="89" spans="1:5" x14ac:dyDescent="0.3">
      <c r="A89">
        <v>88</v>
      </c>
      <c r="D89" s="190" t="s">
        <v>1719</v>
      </c>
      <c r="E89" s="190">
        <v>2800802</v>
      </c>
    </row>
    <row r="90" spans="1:5" x14ac:dyDescent="0.3">
      <c r="A90">
        <v>89</v>
      </c>
      <c r="D90" s="190" t="s">
        <v>1720</v>
      </c>
      <c r="E90" s="190">
        <v>2800801</v>
      </c>
    </row>
    <row r="91" spans="1:5" x14ac:dyDescent="0.3">
      <c r="A91">
        <v>90</v>
      </c>
      <c r="D91" s="190" t="s">
        <v>2220</v>
      </c>
      <c r="E91" s="190" t="s">
        <v>1714</v>
      </c>
    </row>
    <row r="92" spans="1:5" x14ac:dyDescent="0.3">
      <c r="A92">
        <v>91</v>
      </c>
      <c r="D92" s="190" t="s">
        <v>2179</v>
      </c>
      <c r="E92" s="190" t="s">
        <v>1716</v>
      </c>
    </row>
    <row r="93" spans="1:5" x14ac:dyDescent="0.3">
      <c r="A93">
        <v>92</v>
      </c>
      <c r="D93" s="190" t="s">
        <v>1726</v>
      </c>
    </row>
    <row r="94" spans="1:5" x14ac:dyDescent="0.3">
      <c r="A94">
        <v>93</v>
      </c>
      <c r="D94" s="190" t="s">
        <v>2187</v>
      </c>
      <c r="E94" s="190" t="s">
        <v>1728</v>
      </c>
    </row>
    <row r="95" spans="1:5" x14ac:dyDescent="0.3">
      <c r="A95">
        <v>94</v>
      </c>
      <c r="D95" s="190" t="s">
        <v>2188</v>
      </c>
      <c r="E95" s="190" t="s">
        <v>1729</v>
      </c>
    </row>
    <row r="96" spans="1:5" x14ac:dyDescent="0.3">
      <c r="A96">
        <v>95</v>
      </c>
      <c r="D96" s="190" t="s">
        <v>2189</v>
      </c>
      <c r="E96" s="190" t="s">
        <v>1778</v>
      </c>
    </row>
    <row r="97" spans="1:5" x14ac:dyDescent="0.3">
      <c r="A97">
        <v>96</v>
      </c>
      <c r="D97" s="190" t="s">
        <v>1731</v>
      </c>
      <c r="E97" s="190" t="s">
        <v>1730</v>
      </c>
    </row>
    <row r="98" spans="1:5" x14ac:dyDescent="0.3">
      <c r="A98">
        <v>97</v>
      </c>
      <c r="D98" s="190" t="s">
        <v>1732</v>
      </c>
      <c r="E98" s="190">
        <v>2850701</v>
      </c>
    </row>
    <row r="99" spans="1:5" x14ac:dyDescent="0.3">
      <c r="A99">
        <v>98</v>
      </c>
      <c r="D99" s="190" t="s">
        <v>2494</v>
      </c>
      <c r="E99" s="190" t="s">
        <v>2830</v>
      </c>
    </row>
    <row r="100" spans="1:5" x14ac:dyDescent="0.3">
      <c r="A100">
        <v>99</v>
      </c>
      <c r="D100" s="190" t="s">
        <v>1734</v>
      </c>
      <c r="E100" s="190">
        <v>2830701</v>
      </c>
    </row>
    <row r="101" spans="1:5" x14ac:dyDescent="0.3">
      <c r="A101">
        <v>100</v>
      </c>
      <c r="D101" s="190" t="s">
        <v>1734</v>
      </c>
      <c r="E101" s="190">
        <v>2830701</v>
      </c>
    </row>
    <row r="102" spans="1:5" x14ac:dyDescent="0.3">
      <c r="A102">
        <v>101</v>
      </c>
      <c r="D102" s="190" t="s">
        <v>1736</v>
      </c>
      <c r="E102" s="190">
        <v>2801701</v>
      </c>
    </row>
    <row r="103" spans="1:5" x14ac:dyDescent="0.3">
      <c r="A103">
        <v>102</v>
      </c>
      <c r="D103" s="190" t="s">
        <v>1736</v>
      </c>
      <c r="E103" s="190">
        <v>2801702</v>
      </c>
    </row>
    <row r="104" spans="1:5" x14ac:dyDescent="0.3">
      <c r="A104">
        <v>103</v>
      </c>
      <c r="D104" s="190" t="s">
        <v>2177</v>
      </c>
      <c r="E104" s="190" t="s">
        <v>1751</v>
      </c>
    </row>
    <row r="105" spans="1:5" x14ac:dyDescent="0.3">
      <c r="A105">
        <v>104</v>
      </c>
      <c r="D105" s="190" t="s">
        <v>1823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1748</v>
      </c>
    </row>
    <row r="107" spans="1:5" x14ac:dyDescent="0.3">
      <c r="A107">
        <v>106</v>
      </c>
      <c r="D107" s="190" t="s">
        <v>1754</v>
      </c>
      <c r="E107" s="190">
        <v>24347544930</v>
      </c>
    </row>
    <row r="108" spans="1:5" x14ac:dyDescent="0.3">
      <c r="A108">
        <v>107</v>
      </c>
      <c r="D108" s="190" t="s">
        <v>2084</v>
      </c>
      <c r="E108" s="190">
        <v>501220641</v>
      </c>
    </row>
    <row r="109" spans="1:5" x14ac:dyDescent="0.3">
      <c r="A109">
        <v>108</v>
      </c>
      <c r="D109" s="190" t="s">
        <v>1760</v>
      </c>
      <c r="E109" s="190" t="s">
        <v>1759</v>
      </c>
    </row>
    <row r="110" spans="1:5" x14ac:dyDescent="0.3">
      <c r="A110">
        <v>109</v>
      </c>
      <c r="D110" s="190" t="s">
        <v>1760</v>
      </c>
      <c r="E110" s="190" t="s">
        <v>1762</v>
      </c>
    </row>
    <row r="111" spans="1:5" x14ac:dyDescent="0.3">
      <c r="A111">
        <v>110</v>
      </c>
      <c r="D111" s="190" t="s">
        <v>1557</v>
      </c>
      <c r="E111" s="190" t="s">
        <v>1764</v>
      </c>
    </row>
    <row r="112" spans="1:5" x14ac:dyDescent="0.3">
      <c r="A112">
        <v>111</v>
      </c>
      <c r="D112" s="190" t="s">
        <v>1811</v>
      </c>
      <c r="E112" s="190">
        <v>1068298046</v>
      </c>
    </row>
    <row r="113" spans="1:5" x14ac:dyDescent="0.3">
      <c r="A113">
        <v>112</v>
      </c>
      <c r="D113" s="190" t="s">
        <v>2234</v>
      </c>
      <c r="E113" s="190">
        <v>1087298388</v>
      </c>
    </row>
    <row r="114" spans="1:5" x14ac:dyDescent="0.3">
      <c r="A114">
        <v>113</v>
      </c>
      <c r="D114" s="190" t="s">
        <v>1811</v>
      </c>
      <c r="E114" s="190">
        <v>1068298044</v>
      </c>
    </row>
    <row r="115" spans="1:5" x14ac:dyDescent="0.3">
      <c r="A115">
        <v>114</v>
      </c>
      <c r="D115" s="190" t="s">
        <v>1545</v>
      </c>
      <c r="E115" s="190">
        <v>24152333907</v>
      </c>
    </row>
    <row r="116" spans="1:5" x14ac:dyDescent="0.3">
      <c r="A116">
        <v>115</v>
      </c>
      <c r="D116" s="190" t="s">
        <v>1825</v>
      </c>
      <c r="E116" s="190">
        <v>6058008122</v>
      </c>
    </row>
    <row r="117" spans="1:5" x14ac:dyDescent="0.3">
      <c r="A117">
        <v>116</v>
      </c>
      <c r="D117" s="190" t="s">
        <v>1848</v>
      </c>
      <c r="E117" s="190" t="s">
        <v>1847</v>
      </c>
    </row>
    <row r="118" spans="1:5" x14ac:dyDescent="0.3">
      <c r="A118">
        <v>117</v>
      </c>
      <c r="D118" s="190" t="s">
        <v>2518</v>
      </c>
      <c r="E118" s="190">
        <v>415062109</v>
      </c>
    </row>
    <row r="119" spans="1:5" x14ac:dyDescent="0.3">
      <c r="A119">
        <v>118</v>
      </c>
      <c r="D119" s="190" t="s">
        <v>2820</v>
      </c>
      <c r="E119" s="190">
        <v>501218962</v>
      </c>
    </row>
    <row r="120" spans="1:5" x14ac:dyDescent="0.3">
      <c r="A120">
        <v>119</v>
      </c>
      <c r="D120" s="190" t="s">
        <v>1870</v>
      </c>
      <c r="E120" s="190" t="s">
        <v>1869</v>
      </c>
    </row>
    <row r="121" spans="1:5" x14ac:dyDescent="0.3">
      <c r="A121">
        <v>120</v>
      </c>
      <c r="D121" s="190" t="s">
        <v>1889</v>
      </c>
    </row>
    <row r="122" spans="1:5" x14ac:dyDescent="0.3">
      <c r="A122">
        <v>121</v>
      </c>
      <c r="D122" s="190" t="s">
        <v>1909</v>
      </c>
      <c r="E122" s="190">
        <v>501215718</v>
      </c>
    </row>
    <row r="123" spans="1:5" x14ac:dyDescent="0.3">
      <c r="A123">
        <v>122</v>
      </c>
      <c r="D123" s="190" t="s">
        <v>1909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2051</v>
      </c>
      <c r="E124" s="190" t="s">
        <v>2050</v>
      </c>
    </row>
    <row r="125" spans="1:5" x14ac:dyDescent="0.3">
      <c r="A125">
        <v>124</v>
      </c>
      <c r="B125" s="13">
        <v>45771</v>
      </c>
      <c r="D125" s="190" t="s">
        <v>1915</v>
      </c>
    </row>
    <row r="126" spans="1:5" x14ac:dyDescent="0.3">
      <c r="A126">
        <v>125</v>
      </c>
      <c r="D126" s="190" t="s">
        <v>1577</v>
      </c>
      <c r="E126" s="190" t="s">
        <v>1919</v>
      </c>
    </row>
    <row r="127" spans="1:5" x14ac:dyDescent="0.3">
      <c r="A127">
        <v>126</v>
      </c>
      <c r="D127" s="190" t="s">
        <v>1922</v>
      </c>
    </row>
    <row r="128" spans="1:5" x14ac:dyDescent="0.3">
      <c r="A128">
        <v>127</v>
      </c>
      <c r="D128" s="190" t="s">
        <v>1936</v>
      </c>
      <c r="E128" s="190" t="s">
        <v>1935</v>
      </c>
    </row>
    <row r="129" spans="1:5" x14ac:dyDescent="0.3">
      <c r="A129">
        <v>128</v>
      </c>
      <c r="D129" s="190" t="s">
        <v>1934</v>
      </c>
      <c r="E129" s="190" t="s">
        <v>1933</v>
      </c>
    </row>
    <row r="130" spans="1:5" x14ac:dyDescent="0.3">
      <c r="A130">
        <v>129</v>
      </c>
      <c r="D130" s="190" t="s">
        <v>2518</v>
      </c>
      <c r="E130" s="190">
        <v>415072909</v>
      </c>
    </row>
    <row r="131" spans="1:5" x14ac:dyDescent="0.3">
      <c r="A131">
        <v>130</v>
      </c>
      <c r="D131" s="190" t="s">
        <v>1945</v>
      </c>
      <c r="E131" s="190" t="s">
        <v>1946</v>
      </c>
    </row>
    <row r="132" spans="1:5" x14ac:dyDescent="0.3">
      <c r="A132">
        <v>131</v>
      </c>
      <c r="D132" s="190" t="s">
        <v>1949</v>
      </c>
    </row>
    <row r="133" spans="1:5" x14ac:dyDescent="0.3">
      <c r="A133">
        <v>132</v>
      </c>
      <c r="D133" s="190" t="s">
        <v>1955</v>
      </c>
    </row>
    <row r="134" spans="1:5" x14ac:dyDescent="0.3">
      <c r="A134">
        <v>133</v>
      </c>
      <c r="D134" s="190" t="s">
        <v>2190</v>
      </c>
    </row>
    <row r="135" spans="1:5" x14ac:dyDescent="0.3">
      <c r="A135">
        <v>134</v>
      </c>
      <c r="D135" s="190" t="s">
        <v>1979</v>
      </c>
      <c r="E135" s="190">
        <v>7583332</v>
      </c>
    </row>
    <row r="136" spans="1:5" x14ac:dyDescent="0.3">
      <c r="A136">
        <v>135</v>
      </c>
      <c r="D136" s="190" t="s">
        <v>1981</v>
      </c>
    </row>
    <row r="137" spans="1:5" x14ac:dyDescent="0.3">
      <c r="A137">
        <v>136</v>
      </c>
      <c r="D137" s="190" t="s">
        <v>1204</v>
      </c>
      <c r="E137" s="190" t="s">
        <v>1988</v>
      </c>
    </row>
    <row r="138" spans="1:5" x14ac:dyDescent="0.3">
      <c r="A138">
        <v>137</v>
      </c>
      <c r="D138" s="190" t="s">
        <v>2006</v>
      </c>
    </row>
    <row r="139" spans="1:5" x14ac:dyDescent="0.3">
      <c r="A139">
        <v>138</v>
      </c>
      <c r="D139" s="190" t="s">
        <v>2019</v>
      </c>
      <c r="E139" s="190" t="s">
        <v>2018</v>
      </c>
    </row>
    <row r="140" spans="1:5" x14ac:dyDescent="0.3">
      <c r="A140">
        <v>139</v>
      </c>
      <c r="D140" s="190" t="s">
        <v>2025</v>
      </c>
    </row>
    <row r="141" spans="1:5" x14ac:dyDescent="0.3">
      <c r="A141">
        <v>140</v>
      </c>
      <c r="D141" s="190" t="s">
        <v>2028</v>
      </c>
    </row>
    <row r="142" spans="1:5" x14ac:dyDescent="0.3">
      <c r="A142">
        <v>141</v>
      </c>
      <c r="D142" s="190" t="s">
        <v>2681</v>
      </c>
      <c r="E142" s="190">
        <v>2830406</v>
      </c>
    </row>
    <row r="143" spans="1:5" x14ac:dyDescent="0.3">
      <c r="A143">
        <v>142</v>
      </c>
      <c r="D143" s="190" t="s">
        <v>2679</v>
      </c>
      <c r="E143" s="190">
        <v>2830301</v>
      </c>
    </row>
    <row r="144" spans="1:5" x14ac:dyDescent="0.3">
      <c r="A144">
        <v>143</v>
      </c>
      <c r="D144" s="190" t="s">
        <v>2045</v>
      </c>
    </row>
    <row r="145" spans="1:5" x14ac:dyDescent="0.3">
      <c r="A145">
        <v>144</v>
      </c>
      <c r="D145" s="190" t="s">
        <v>2136</v>
      </c>
      <c r="E145" s="190" t="s">
        <v>1907</v>
      </c>
    </row>
    <row r="146" spans="1:5" x14ac:dyDescent="0.3">
      <c r="A146">
        <v>145</v>
      </c>
      <c r="D146" s="190" t="s">
        <v>2056</v>
      </c>
      <c r="E146" s="190">
        <v>24347588724</v>
      </c>
    </row>
    <row r="147" spans="1:5" x14ac:dyDescent="0.3">
      <c r="A147">
        <v>146</v>
      </c>
      <c r="D147" s="190" t="s">
        <v>2083</v>
      </c>
      <c r="E147" s="190">
        <v>501220522</v>
      </c>
    </row>
    <row r="148" spans="1:5" x14ac:dyDescent="0.3">
      <c r="A148">
        <v>147</v>
      </c>
      <c r="D148" s="190" t="s">
        <v>2207</v>
      </c>
      <c r="E148" s="190">
        <v>2830401</v>
      </c>
    </row>
    <row r="149" spans="1:5" x14ac:dyDescent="0.3">
      <c r="A149">
        <v>148</v>
      </c>
      <c r="D149" s="190" t="s">
        <v>2104</v>
      </c>
      <c r="E149" s="190">
        <v>36050661</v>
      </c>
    </row>
    <row r="150" spans="1:5" x14ac:dyDescent="0.3">
      <c r="A150">
        <v>149</v>
      </c>
      <c r="D150" s="190" t="s">
        <v>2337</v>
      </c>
      <c r="E150" s="190" t="s">
        <v>2578</v>
      </c>
    </row>
    <row r="151" spans="1:5" x14ac:dyDescent="0.3">
      <c r="A151">
        <v>150</v>
      </c>
      <c r="D151" s="190" t="s">
        <v>2039</v>
      </c>
      <c r="E151" s="190">
        <v>6058008211</v>
      </c>
    </row>
    <row r="152" spans="1:5" x14ac:dyDescent="0.3">
      <c r="A152">
        <v>151</v>
      </c>
      <c r="D152" s="190" t="s">
        <v>2122</v>
      </c>
    </row>
    <row r="153" spans="1:5" x14ac:dyDescent="0.3">
      <c r="A153">
        <v>152</v>
      </c>
      <c r="D153" s="190" t="s">
        <v>2123</v>
      </c>
    </row>
    <row r="154" spans="1:5" x14ac:dyDescent="0.3">
      <c r="A154">
        <v>153</v>
      </c>
      <c r="D154" s="190" t="s">
        <v>2683</v>
      </c>
      <c r="E154" s="190">
        <v>2830502</v>
      </c>
    </row>
    <row r="155" spans="1:5" x14ac:dyDescent="0.3">
      <c r="A155">
        <v>154</v>
      </c>
      <c r="D155" s="190" t="s">
        <v>2514</v>
      </c>
      <c r="E155" s="190">
        <v>28120505</v>
      </c>
    </row>
    <row r="156" spans="1:5" x14ac:dyDescent="0.3">
      <c r="A156">
        <v>155</v>
      </c>
      <c r="D156" s="190" t="s">
        <v>2152</v>
      </c>
    </row>
    <row r="157" spans="1:5" x14ac:dyDescent="0.3">
      <c r="A157">
        <v>156</v>
      </c>
      <c r="D157" s="190" t="s">
        <v>2154</v>
      </c>
    </row>
    <row r="158" spans="1:5" x14ac:dyDescent="0.3">
      <c r="A158">
        <v>157</v>
      </c>
      <c r="D158" s="190" t="s">
        <v>2156</v>
      </c>
    </row>
    <row r="159" spans="1:5" x14ac:dyDescent="0.3">
      <c r="A159">
        <v>158</v>
      </c>
      <c r="D159" s="190" t="s">
        <v>2518</v>
      </c>
      <c r="E159" s="190">
        <v>2295001282</v>
      </c>
    </row>
    <row r="160" spans="1:5" x14ac:dyDescent="0.3">
      <c r="A160">
        <v>159</v>
      </c>
      <c r="D160" s="190" t="s">
        <v>2577</v>
      </c>
    </row>
    <row r="161" spans="1:5" x14ac:dyDescent="0.3">
      <c r="A161">
        <v>160</v>
      </c>
      <c r="D161" s="190" t="s">
        <v>2226</v>
      </c>
    </row>
    <row r="162" spans="1:5" x14ac:dyDescent="0.3">
      <c r="A162">
        <v>161</v>
      </c>
      <c r="D162" s="190" t="s">
        <v>2237</v>
      </c>
    </row>
    <row r="163" spans="1:5" x14ac:dyDescent="0.3">
      <c r="A163">
        <v>162</v>
      </c>
      <c r="D163" s="190" t="s">
        <v>2242</v>
      </c>
    </row>
    <row r="164" spans="1:5" x14ac:dyDescent="0.3">
      <c r="A164">
        <v>163</v>
      </c>
      <c r="D164" s="190" t="s">
        <v>2252</v>
      </c>
    </row>
    <row r="165" spans="1:5" x14ac:dyDescent="0.3">
      <c r="A165">
        <v>164</v>
      </c>
      <c r="D165" s="190" t="s">
        <v>2268</v>
      </c>
      <c r="E165" s="190">
        <v>1068327224</v>
      </c>
    </row>
    <row r="166" spans="1:5" x14ac:dyDescent="0.3">
      <c r="A166">
        <v>165</v>
      </c>
      <c r="D166" s="190" t="s">
        <v>2266</v>
      </c>
      <c r="E166" s="190">
        <v>1087327175</v>
      </c>
    </row>
    <row r="167" spans="1:5" x14ac:dyDescent="0.3">
      <c r="A167">
        <v>166</v>
      </c>
      <c r="D167" s="190" t="s">
        <v>2270</v>
      </c>
      <c r="E167" s="190" t="s">
        <v>2269</v>
      </c>
    </row>
    <row r="168" spans="1:5" x14ac:dyDescent="0.3">
      <c r="A168">
        <v>167</v>
      </c>
      <c r="D168" s="190" t="s">
        <v>2470</v>
      </c>
      <c r="E168" s="190" t="s">
        <v>2469</v>
      </c>
    </row>
    <row r="169" spans="1:5" x14ac:dyDescent="0.3">
      <c r="A169">
        <v>168</v>
      </c>
      <c r="D169" s="190" t="s">
        <v>2518</v>
      </c>
      <c r="E169" s="190">
        <v>4150862090</v>
      </c>
    </row>
    <row r="170" spans="1:5" x14ac:dyDescent="0.3">
      <c r="A170">
        <v>169</v>
      </c>
      <c r="D170" s="190" t="s">
        <v>2286</v>
      </c>
    </row>
    <row r="171" spans="1:5" x14ac:dyDescent="0.3">
      <c r="A171">
        <v>170</v>
      </c>
      <c r="D171" s="190" t="s">
        <v>2314</v>
      </c>
    </row>
    <row r="172" spans="1:5" x14ac:dyDescent="0.3">
      <c r="A172">
        <v>171</v>
      </c>
      <c r="D172" s="190" t="s">
        <v>2295</v>
      </c>
    </row>
    <row r="173" spans="1:5" x14ac:dyDescent="0.3">
      <c r="A173">
        <v>172</v>
      </c>
      <c r="D173" s="190" t="s">
        <v>2518</v>
      </c>
      <c r="E173" s="190">
        <v>415089709</v>
      </c>
    </row>
    <row r="174" spans="1:5" x14ac:dyDescent="0.3">
      <c r="A174">
        <v>173</v>
      </c>
      <c r="D174" s="190" t="s">
        <v>2324</v>
      </c>
      <c r="E174" s="190" t="s">
        <v>2323</v>
      </c>
    </row>
    <row r="175" spans="1:5" x14ac:dyDescent="0.3">
      <c r="A175">
        <v>174</v>
      </c>
      <c r="D175" s="190" t="s">
        <v>2326</v>
      </c>
      <c r="E175" s="190">
        <v>28120411</v>
      </c>
    </row>
    <row r="176" spans="1:5" x14ac:dyDescent="0.3">
      <c r="A176">
        <v>175</v>
      </c>
      <c r="D176" s="190" t="s">
        <v>2663</v>
      </c>
      <c r="E176" s="190">
        <v>1087298437</v>
      </c>
    </row>
    <row r="177" spans="1:5" x14ac:dyDescent="0.3">
      <c r="A177">
        <v>176</v>
      </c>
      <c r="D177" s="190" t="s">
        <v>2339</v>
      </c>
    </row>
    <row r="178" spans="1:5" x14ac:dyDescent="0.3">
      <c r="A178">
        <v>177</v>
      </c>
      <c r="D178" s="190" t="s">
        <v>2343</v>
      </c>
      <c r="E178" s="190">
        <v>24046895</v>
      </c>
    </row>
    <row r="179" spans="1:5" x14ac:dyDescent="0.3">
      <c r="A179">
        <v>178</v>
      </c>
      <c r="D179" s="190" t="s">
        <v>2884</v>
      </c>
      <c r="E179" s="190" t="s">
        <v>2883</v>
      </c>
    </row>
    <row r="180" spans="1:5" x14ac:dyDescent="0.3">
      <c r="A180">
        <v>179</v>
      </c>
      <c r="D180" s="190" t="s">
        <v>2393</v>
      </c>
    </row>
    <row r="181" spans="1:5" x14ac:dyDescent="0.3">
      <c r="A181">
        <v>180</v>
      </c>
      <c r="D181" s="190" t="s">
        <v>2396</v>
      </c>
      <c r="E181" s="190" t="s">
        <v>2395</v>
      </c>
    </row>
    <row r="182" spans="1:5" x14ac:dyDescent="0.3">
      <c r="A182">
        <v>181</v>
      </c>
      <c r="D182" s="190" t="s">
        <v>2400</v>
      </c>
    </row>
    <row r="183" spans="1:5" x14ac:dyDescent="0.3">
      <c r="A183">
        <v>182</v>
      </c>
      <c r="D183" s="190" t="s">
        <v>2380</v>
      </c>
      <c r="E183" s="190" t="s">
        <v>2413</v>
      </c>
    </row>
    <row r="184" spans="1:5" x14ac:dyDescent="0.3">
      <c r="A184">
        <v>183</v>
      </c>
      <c r="D184" s="190" t="s">
        <v>2421</v>
      </c>
      <c r="E184" s="190" t="s">
        <v>2420</v>
      </c>
    </row>
    <row r="185" spans="1:5" x14ac:dyDescent="0.3">
      <c r="A185">
        <v>184</v>
      </c>
      <c r="D185" s="190" t="s">
        <v>2423</v>
      </c>
      <c r="E185" s="190" t="s">
        <v>2422</v>
      </c>
    </row>
    <row r="186" spans="1:5" x14ac:dyDescent="0.3">
      <c r="A186">
        <v>185</v>
      </c>
      <c r="D186" s="190" t="s">
        <v>2451</v>
      </c>
    </row>
    <row r="187" spans="1:5" x14ac:dyDescent="0.3">
      <c r="A187">
        <v>186</v>
      </c>
      <c r="D187" s="190" t="s">
        <v>2495</v>
      </c>
    </row>
    <row r="188" spans="1:5" x14ac:dyDescent="0.3">
      <c r="A188">
        <v>187</v>
      </c>
      <c r="D188" s="190" t="s">
        <v>2509</v>
      </c>
      <c r="E188" s="190">
        <v>2463772400</v>
      </c>
    </row>
    <row r="189" spans="1:5" x14ac:dyDescent="0.3">
      <c r="A189">
        <v>188</v>
      </c>
      <c r="D189" s="190" t="s">
        <v>2508</v>
      </c>
      <c r="E189" s="190">
        <v>2462500901</v>
      </c>
    </row>
    <row r="190" spans="1:5" x14ac:dyDescent="0.3">
      <c r="A190">
        <v>189</v>
      </c>
      <c r="D190" s="190" t="s">
        <v>2562</v>
      </c>
      <c r="E190" s="190" t="s">
        <v>2561</v>
      </c>
    </row>
    <row r="191" spans="1:5" x14ac:dyDescent="0.3">
      <c r="A191">
        <v>190</v>
      </c>
      <c r="D191" s="190" t="s">
        <v>2819</v>
      </c>
      <c r="E191" s="190" t="s">
        <v>2818</v>
      </c>
    </row>
    <row r="192" spans="1:5" x14ac:dyDescent="0.3">
      <c r="A192">
        <v>191</v>
      </c>
      <c r="D192" s="190" t="s">
        <v>2612</v>
      </c>
      <c r="E192" s="190" t="s">
        <v>2611</v>
      </c>
    </row>
    <row r="193" spans="1:5" x14ac:dyDescent="0.3">
      <c r="A193">
        <v>192</v>
      </c>
      <c r="D193" s="190" t="s">
        <v>2618</v>
      </c>
    </row>
    <row r="194" spans="1:5" x14ac:dyDescent="0.3">
      <c r="A194">
        <v>193</v>
      </c>
      <c r="D194" s="190" t="s">
        <v>2647</v>
      </c>
    </row>
    <row r="195" spans="1:5" x14ac:dyDescent="0.3">
      <c r="A195">
        <v>194</v>
      </c>
      <c r="D195" s="190" t="s">
        <v>2686</v>
      </c>
      <c r="E195" s="190" t="s">
        <v>2685</v>
      </c>
    </row>
    <row r="196" spans="1:5" x14ac:dyDescent="0.3">
      <c r="A196">
        <v>195</v>
      </c>
      <c r="D196" s="190" t="s">
        <v>2709</v>
      </c>
      <c r="E196" s="190" t="s">
        <v>2708</v>
      </c>
    </row>
    <row r="197" spans="1:5" x14ac:dyDescent="0.3">
      <c r="A197">
        <v>196</v>
      </c>
      <c r="D197" s="190" t="s">
        <v>2720</v>
      </c>
    </row>
    <row r="198" spans="1:5" x14ac:dyDescent="0.3">
      <c r="A198">
        <v>197</v>
      </c>
      <c r="D198" s="190" t="s">
        <v>2745</v>
      </c>
      <c r="E198" s="190">
        <v>7252703114</v>
      </c>
    </row>
    <row r="199" spans="1:5" x14ac:dyDescent="0.3">
      <c r="A199">
        <v>198</v>
      </c>
      <c r="D199" s="190" t="s">
        <v>2747</v>
      </c>
      <c r="E199" s="190">
        <v>1094302044</v>
      </c>
    </row>
    <row r="200" spans="1:5" x14ac:dyDescent="0.3">
      <c r="A200">
        <v>199</v>
      </c>
      <c r="D200" s="190" t="s">
        <v>2839</v>
      </c>
      <c r="E200" s="190" t="s">
        <v>2838</v>
      </c>
    </row>
    <row r="201" spans="1:5" x14ac:dyDescent="0.3">
      <c r="A201">
        <v>200</v>
      </c>
      <c r="D201" s="190" t="s">
        <v>1755</v>
      </c>
      <c r="E201" s="190">
        <v>501220639</v>
      </c>
    </row>
    <row r="202" spans="1:5" x14ac:dyDescent="0.3">
      <c r="A202">
        <v>201</v>
      </c>
      <c r="D202" s="190" t="s">
        <v>2846</v>
      </c>
      <c r="E202" s="190" t="s">
        <v>2844</v>
      </c>
    </row>
    <row r="203" spans="1:5" x14ac:dyDescent="0.3">
      <c r="A203">
        <v>202</v>
      </c>
      <c r="D203" s="190" t="s">
        <v>2919</v>
      </c>
      <c r="E203" s="190" t="s">
        <v>2918</v>
      </c>
    </row>
    <row r="204" spans="1:5" x14ac:dyDescent="0.3">
      <c r="A204">
        <v>203</v>
      </c>
      <c r="D204" s="190" t="s">
        <v>2881</v>
      </c>
      <c r="E204" s="190" t="s">
        <v>2880</v>
      </c>
    </row>
    <row r="205" spans="1:5" x14ac:dyDescent="0.3">
      <c r="A205">
        <v>204</v>
      </c>
      <c r="D205" s="190" t="s">
        <v>2882</v>
      </c>
      <c r="E205" s="190">
        <v>709013001</v>
      </c>
    </row>
    <row r="206" spans="1:5" x14ac:dyDescent="0.3">
      <c r="A206">
        <v>205</v>
      </c>
      <c r="D206" s="190" t="s">
        <v>2900</v>
      </c>
    </row>
    <row r="207" spans="1:5" x14ac:dyDescent="0.3">
      <c r="A207">
        <v>206</v>
      </c>
      <c r="D207" s="190" t="s">
        <v>2920</v>
      </c>
    </row>
    <row r="208" spans="1:5" x14ac:dyDescent="0.3">
      <c r="A208">
        <v>207</v>
      </c>
      <c r="D208" s="190" t="s">
        <v>3121</v>
      </c>
      <c r="E208" s="190">
        <v>6058008117</v>
      </c>
    </row>
    <row r="209" spans="1:5" x14ac:dyDescent="0.3">
      <c r="A209">
        <v>208</v>
      </c>
      <c r="D209" s="190" t="s">
        <v>2936</v>
      </c>
    </row>
    <row r="210" spans="1:5" x14ac:dyDescent="0.3">
      <c r="D210" s="190" t="s">
        <v>2951</v>
      </c>
      <c r="E210" s="190" t="s">
        <v>2950</v>
      </c>
    </row>
    <row r="211" spans="1:5" x14ac:dyDescent="0.3">
      <c r="D211" s="190" t="s">
        <v>2954</v>
      </c>
      <c r="E211" s="190">
        <v>33108841535</v>
      </c>
    </row>
    <row r="212" spans="1:5" x14ac:dyDescent="0.3">
      <c r="D212" s="190" t="s">
        <v>2984</v>
      </c>
      <c r="E212" s="190" t="s">
        <v>2983</v>
      </c>
    </row>
    <row r="213" spans="1:5" x14ac:dyDescent="0.3">
      <c r="D213" s="190" t="s">
        <v>3070</v>
      </c>
    </row>
    <row r="214" spans="1:5" x14ac:dyDescent="0.3">
      <c r="D214" s="190" t="s">
        <v>2915</v>
      </c>
      <c r="E214" s="190">
        <v>2212500301</v>
      </c>
    </row>
    <row r="215" spans="1:5" x14ac:dyDescent="0.3">
      <c r="D215" s="190" t="s">
        <v>3120</v>
      </c>
      <c r="E215" s="190">
        <v>6058008122</v>
      </c>
    </row>
    <row r="216" spans="1:5" x14ac:dyDescent="0.3">
      <c r="D216" s="190" t="s">
        <v>3120</v>
      </c>
      <c r="E216" s="190">
        <v>6058008068</v>
      </c>
    </row>
    <row r="217" spans="1:5" x14ac:dyDescent="0.3">
      <c r="D217" s="190" t="s">
        <v>3129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1727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1758</v>
      </c>
    </row>
    <row r="12" spans="1:3" x14ac:dyDescent="0.3">
      <c r="A12">
        <v>13</v>
      </c>
      <c r="B12" t="s">
        <v>1769</v>
      </c>
    </row>
    <row r="13" spans="1:3" x14ac:dyDescent="0.3">
      <c r="A13">
        <v>14</v>
      </c>
      <c r="B13" t="s">
        <v>1914</v>
      </c>
    </row>
    <row r="14" spans="1:3" x14ac:dyDescent="0.3">
      <c r="A14">
        <v>15</v>
      </c>
      <c r="B14" t="s">
        <v>2342</v>
      </c>
    </row>
    <row r="15" spans="1:3" x14ac:dyDescent="0.3">
      <c r="A15">
        <v>16</v>
      </c>
      <c r="B15" t="s">
        <v>4042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 x14ac:dyDescent="0.3">
      <c r="F27" s="17">
        <v>69</v>
      </c>
      <c r="J27" s="53" t="s">
        <v>1649</v>
      </c>
      <c r="L27" s="17">
        <v>200000</v>
      </c>
    </row>
    <row r="28" spans="1:18" ht="18" hidden="1" customHeight="1" x14ac:dyDescent="0.3">
      <c r="F28" s="17">
        <v>64</v>
      </c>
      <c r="J28" s="53" t="s">
        <v>1625</v>
      </c>
      <c r="L28" s="17">
        <v>27000</v>
      </c>
    </row>
    <row r="29" spans="1:18" ht="18" customHeight="1" x14ac:dyDescent="0.3">
      <c r="F29" s="17">
        <v>2</v>
      </c>
      <c r="J29" s="53" t="s">
        <v>2191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 x14ac:dyDescent="0.3">
      <c r="F32" s="17">
        <v>5</v>
      </c>
      <c r="J32" s="53" t="s">
        <v>1635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1739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1889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1632</v>
      </c>
      <c r="L40" s="17">
        <v>850000</v>
      </c>
    </row>
    <row r="41" spans="6:12" ht="18" customHeight="1" x14ac:dyDescent="0.3">
      <c r="F41" s="17">
        <v>68</v>
      </c>
      <c r="J41" s="53" t="s">
        <v>1649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2199</v>
      </c>
      <c r="L43" s="17">
        <v>150000</v>
      </c>
    </row>
    <row r="44" spans="6:12" ht="18" customHeight="1" x14ac:dyDescent="0.3">
      <c r="F44" s="17">
        <v>19</v>
      </c>
      <c r="J44" s="53" t="s">
        <v>2197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2181</v>
      </c>
      <c r="L46" s="17">
        <v>600000</v>
      </c>
    </row>
    <row r="47" spans="6:12" ht="18" customHeight="1" x14ac:dyDescent="0.3">
      <c r="F47" s="17">
        <v>55</v>
      </c>
      <c r="J47" s="53" t="s">
        <v>1551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2410</v>
      </c>
      <c r="J82" s="53" t="s">
        <v>1870</v>
      </c>
      <c r="K82" s="17" t="s">
        <v>2410</v>
      </c>
      <c r="L82" s="17">
        <v>20000</v>
      </c>
    </row>
    <row r="83" spans="6:12" ht="18" customHeight="1" x14ac:dyDescent="0.3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 x14ac:dyDescent="0.3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2771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 x14ac:dyDescent="0.3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 x14ac:dyDescent="0.3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 x14ac:dyDescent="0.3">
      <c r="F89" s="17">
        <v>58</v>
      </c>
      <c r="I89" s="17" t="s">
        <v>2744</v>
      </c>
      <c r="J89" s="53" t="s">
        <v>2414</v>
      </c>
      <c r="K89" s="17" t="s">
        <v>2744</v>
      </c>
      <c r="L89" s="17">
        <v>1100000</v>
      </c>
    </row>
    <row r="90" spans="6:12" ht="18" customHeight="1" x14ac:dyDescent="0.3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 x14ac:dyDescent="0.3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2183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2023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 x14ac:dyDescent="0.3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 x14ac:dyDescent="0.3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 x14ac:dyDescent="0.3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 x14ac:dyDescent="0.3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 x14ac:dyDescent="0.3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 x14ac:dyDescent="0.3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 x14ac:dyDescent="0.3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 x14ac:dyDescent="0.3">
      <c r="F103" s="17">
        <v>85</v>
      </c>
      <c r="I103" s="17" t="s">
        <v>2746</v>
      </c>
      <c r="J103" s="53" t="s">
        <v>2836</v>
      </c>
      <c r="K103" s="17" t="s">
        <v>2746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2176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2182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2193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2193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 x14ac:dyDescent="0.3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 x14ac:dyDescent="0.3">
      <c r="F110" s="17">
        <v>37</v>
      </c>
      <c r="I110" s="17" t="s">
        <v>2872</v>
      </c>
      <c r="J110" s="53" t="s">
        <v>2380</v>
      </c>
      <c r="K110" s="17" t="s">
        <v>2872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1559</v>
      </c>
      <c r="J112" s="53" t="s">
        <v>1204</v>
      </c>
      <c r="K112" s="17" t="s">
        <v>1559</v>
      </c>
      <c r="L112" s="17">
        <v>1000000</v>
      </c>
    </row>
    <row r="113" spans="6:12" ht="18" customHeight="1" x14ac:dyDescent="0.3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2693</v>
      </c>
      <c r="J115" s="53" t="s">
        <v>1557</v>
      </c>
      <c r="K115" s="17" t="s">
        <v>2693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1557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 x14ac:dyDescent="0.3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 x14ac:dyDescent="0.3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 x14ac:dyDescent="0.3">
      <c r="F120" s="17">
        <v>27</v>
      </c>
      <c r="I120" s="17" t="s">
        <v>1357</v>
      </c>
      <c r="J120" s="53" t="s">
        <v>1202</v>
      </c>
      <c r="K120" s="17" t="s">
        <v>1357</v>
      </c>
      <c r="L120" s="17">
        <v>1400000</v>
      </c>
    </row>
    <row r="121" spans="6:12" ht="18" customHeight="1" x14ac:dyDescent="0.3">
      <c r="F121" s="17">
        <v>105</v>
      </c>
      <c r="I121" s="17" t="s">
        <v>1748</v>
      </c>
      <c r="J121" s="53" t="s">
        <v>1202</v>
      </c>
      <c r="K121" s="17" t="s">
        <v>1748</v>
      </c>
      <c r="L121" s="17">
        <v>1200000</v>
      </c>
    </row>
    <row r="122" spans="6:12" ht="18" customHeight="1" x14ac:dyDescent="0.3">
      <c r="F122" s="17">
        <v>46</v>
      </c>
      <c r="I122" s="17" t="s">
        <v>2675</v>
      </c>
      <c r="J122" s="53" t="s">
        <v>1492</v>
      </c>
      <c r="K122" s="17" t="s">
        <v>2675</v>
      </c>
      <c r="L122" s="17">
        <v>350000</v>
      </c>
    </row>
    <row r="123" spans="6:12" ht="18" customHeight="1" x14ac:dyDescent="0.3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 x14ac:dyDescent="0.3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 x14ac:dyDescent="0.3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 x14ac:dyDescent="0.3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 x14ac:dyDescent="0.3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 x14ac:dyDescent="0.3">
      <c r="F128" s="17">
        <v>98</v>
      </c>
      <c r="I128" s="17" t="s">
        <v>2830</v>
      </c>
      <c r="J128" s="53" t="s">
        <v>1733</v>
      </c>
      <c r="K128" s="17" t="s">
        <v>2830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 x14ac:dyDescent="0.3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1181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 x14ac:dyDescent="0.3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 x14ac:dyDescent="0.3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1183</v>
      </c>
    </row>
    <row r="7" spans="1:18" x14ac:dyDescent="0.3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1184</v>
      </c>
    </row>
    <row r="8" spans="1:18" x14ac:dyDescent="0.3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1186</v>
      </c>
    </row>
    <row r="10" spans="1:18" x14ac:dyDescent="0.3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 x14ac:dyDescent="0.3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 x14ac:dyDescent="0.3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2325</v>
      </c>
    </row>
    <row r="13" spans="1:18" x14ac:dyDescent="0.3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2446</v>
      </c>
    </row>
    <row r="14" spans="1:18" x14ac:dyDescent="0.3">
      <c r="B14" t="s">
        <v>2149</v>
      </c>
      <c r="C14">
        <v>13</v>
      </c>
      <c r="D14" t="s">
        <v>1411</v>
      </c>
      <c r="I14">
        <v>13</v>
      </c>
      <c r="J14" t="s">
        <v>2638</v>
      </c>
    </row>
    <row r="15" spans="1:18" x14ac:dyDescent="0.3">
      <c r="C15">
        <v>14</v>
      </c>
      <c r="D15" t="s">
        <v>1412</v>
      </c>
    </row>
    <row r="16" spans="1:18" x14ac:dyDescent="0.3">
      <c r="C16">
        <v>15</v>
      </c>
      <c r="D16" t="s">
        <v>1694</v>
      </c>
    </row>
    <row r="17" spans="3:16" x14ac:dyDescent="0.3">
      <c r="C17">
        <v>16</v>
      </c>
      <c r="D17" t="s">
        <v>1696</v>
      </c>
      <c r="J17">
        <v>28</v>
      </c>
    </row>
    <row r="18" spans="3:16" x14ac:dyDescent="0.3">
      <c r="C18">
        <v>17</v>
      </c>
      <c r="D18" t="s">
        <v>1735</v>
      </c>
      <c r="P18">
        <v>2830502</v>
      </c>
    </row>
    <row r="19" spans="3:16" x14ac:dyDescent="0.3">
      <c r="C19">
        <v>18</v>
      </c>
      <c r="D19" t="s">
        <v>1750</v>
      </c>
      <c r="H19">
        <v>2830513</v>
      </c>
      <c r="L19">
        <v>2830506</v>
      </c>
    </row>
    <row r="20" spans="3:16" x14ac:dyDescent="0.3">
      <c r="C20">
        <v>19</v>
      </c>
      <c r="D20" t="s">
        <v>1920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 x14ac:dyDescent="0.3">
      <c r="B3" s="99">
        <v>45737</v>
      </c>
      <c r="C3" s="100" t="s">
        <v>1243</v>
      </c>
      <c r="D3" s="109" t="s">
        <v>1257</v>
      </c>
    </row>
    <row r="4" spans="1:6" ht="33" x14ac:dyDescent="0.3">
      <c r="B4" s="99">
        <v>45737</v>
      </c>
      <c r="C4" s="100" t="s">
        <v>1244</v>
      </c>
      <c r="D4" s="109" t="s">
        <v>1247</v>
      </c>
    </row>
    <row r="5" spans="1:6" x14ac:dyDescent="0.3">
      <c r="B5" s="99">
        <v>45737</v>
      </c>
      <c r="C5" s="100" t="s">
        <v>1245</v>
      </c>
      <c r="D5" s="100" t="s">
        <v>1246</v>
      </c>
    </row>
    <row r="6" spans="1:6" x14ac:dyDescent="0.3">
      <c r="B6" s="99">
        <v>45737</v>
      </c>
      <c r="C6" s="100" t="s">
        <v>1245</v>
      </c>
      <c r="D6" s="100" t="s">
        <v>1249</v>
      </c>
    </row>
    <row r="7" spans="1:6" x14ac:dyDescent="0.3">
      <c r="B7" s="99">
        <v>45737</v>
      </c>
      <c r="C7" s="100" t="s">
        <v>1245</v>
      </c>
      <c r="D7" s="100" t="s">
        <v>1248</v>
      </c>
    </row>
    <row r="8" spans="1:6" x14ac:dyDescent="0.3">
      <c r="B8" s="99"/>
      <c r="D8" s="100" t="s">
        <v>1252</v>
      </c>
    </row>
    <row r="9" spans="1:6" x14ac:dyDescent="0.3">
      <c r="D9" s="100" t="s">
        <v>1258</v>
      </c>
    </row>
    <row r="10" spans="1:6" x14ac:dyDescent="0.3">
      <c r="D10" s="100" t="s">
        <v>1259</v>
      </c>
    </row>
    <row r="11" spans="1:6" ht="33" x14ac:dyDescent="0.3">
      <c r="B11" s="99">
        <v>45740</v>
      </c>
      <c r="C11" s="100" t="s">
        <v>1263</v>
      </c>
      <c r="D11" s="109" t="s">
        <v>1367</v>
      </c>
    </row>
    <row r="12" spans="1:6" x14ac:dyDescent="0.3">
      <c r="B12" s="99">
        <v>45740</v>
      </c>
      <c r="C12" s="100" t="s">
        <v>1368</v>
      </c>
      <c r="D12" s="100" t="s">
        <v>1366</v>
      </c>
    </row>
    <row r="13" spans="1:6" x14ac:dyDescent="0.3">
      <c r="C13" s="100" t="s">
        <v>1377</v>
      </c>
      <c r="D13" s="100" t="s">
        <v>1378</v>
      </c>
    </row>
    <row r="14" spans="1:6" x14ac:dyDescent="0.3">
      <c r="C14" s="100" t="s">
        <v>1380</v>
      </c>
      <c r="D14" s="100" t="s">
        <v>1381</v>
      </c>
    </row>
    <row r="15" spans="1:6" x14ac:dyDescent="0.3">
      <c r="B15" s="99">
        <v>45742</v>
      </c>
      <c r="C15" s="100" t="s">
        <v>1382</v>
      </c>
      <c r="D15" s="100" t="s">
        <v>1383</v>
      </c>
    </row>
    <row r="16" spans="1:6" x14ac:dyDescent="0.3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2025-11-13T11:20:48Z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