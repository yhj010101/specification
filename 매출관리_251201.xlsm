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9B37693-A88E-4EAA-B252-4FB5EF0EDE5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<sst xmlns="http://schemas.openxmlformats.org/spreadsheetml/2006/main" count="12882" uniqueCount="4512">
  <si>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</si>
  <si>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</si>
  <si>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</si>
  <si>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</si>
  <si>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</si>
  <si>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</si>
  <si>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</si>
  <si>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</si>
  <si>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</si>
  <si>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</si>
  <si>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</si>
  <si>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</si>
  <si>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</si>
  <si>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</si>
  <si>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</si>
  <si>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</si>
  <si>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</si>
  <si>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</si>
  <si>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</si>
  <si>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</si>
  <si>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</si>
  <si>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</si>
  <si>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</si>
  <si>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</si>
  <si>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</si>
  <si>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</si>
  <si>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</si>
  <si>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</si>
  <si>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</si>
  <si>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</si>
  <si>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</si>
  <si>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</si>
  <si>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</si>
  <si>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</si>
  <si>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</si>
  <si>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</si>
  <si>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</si>
  <si>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</si>
  <si>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</si>
  <si>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</si>
  <si>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</si>
  <si>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</si>
  <si>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</si>
  <si>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</si>
  <si>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</si>
  <si>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</si>
  <si>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</si>
  <si>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</si>
  <si>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</si>
  <si>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</si>
  <si>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</si>
  <si>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</si>
  <si>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</si>
  <si>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</si>
  <si>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</si>
  <si>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</si>
  <si>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</si>
  <si>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</si>
  <si>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</si>
  <si>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</si>
  <si>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</si>
  <si>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</si>
  <si>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</si>
  <si>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</si>
  <si>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</si>
  <si>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</si>
  <si>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</si>
  <si>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</si>
  <si>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</si>
  <si>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</si>
  <si>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</si>
  <si>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</si>
  <si>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</si>
  <si>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</si>
  <si>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</si>
  <si>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</si>
  <si>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</si>
  <si>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</si>
  <si>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</si>
  <si>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</si>
  <si>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</si>
  <si>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</si>
  <si>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</si>
  <si>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</si>
  <si>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</si>
  <si>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</si>
  <si>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</si>
  <si>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</si>
  <si>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</si>
  <si>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</si>
  <si>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</si>
  <si>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</si>
  <si>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</si>
  <si>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</si>
  <si>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</si>
  <si>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</si>
  <si>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</si>
  <si>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</si>
  <si>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</si>
  <si>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</si>
  <si>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</si>
  <si>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</si>
  <si>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</si>
  <si>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</si>
  <si>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</si>
  <si>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</si>
  <si>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</si>
  <si>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</si>
  <si>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</si>
  <si>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</si>
  <si>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</si>
  <si>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</si>
  <si>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</si>
  <si>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</si>
  <si>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</si>
  <si>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</si>
  <si>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</si>
  <si>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</si>
  <si>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</si>
  <si>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</si>
  <si>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</si>
  <si>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</si>
  <si>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</si>
  <si>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</si>
  <si>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</si>
  <si>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</si>
  <si>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</si>
  <si>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</si>
  <si>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</si>
  <si>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</si>
  <si>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</si>
  <si>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</si>
  <si>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</si>
  <si>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</si>
  <si>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</si>
  <si>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</si>
  <si>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</si>
  <si>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</si>
  <si>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</si>
  <si>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</si>
  <si>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</si>
  <si>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</si>
  <si>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</si>
  <si>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</si>
  <si>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</si>
  <si>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</si>
  <si>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</si>
  <si>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</si>
  <si>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</si>
  <si>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</si>
  <si>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</si>
  <si>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</si>
  <si>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</si>
  <si>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</si>
  <si>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</si>
  <si>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</si>
  <si>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</si>
  <si>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</si>
  <si>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</si>
  <si>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</si>
  <si>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</si>
  <si>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</si>
  <si>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</si>
  <si>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</si>
  <si>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</si>
  <si>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</si>
  <si>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</si>
  <si>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</si>
  <si>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</si>
  <si>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</si>
  <si>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</si>
  <si>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</si>
  <si>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</si>
  <si>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</si>
  <si>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</si>
  <si>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</si>
  <si>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</si>
  <si>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</si>
  <si>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</si>
  <si>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</si>
  <si>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</si>
  <si>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</si>
  <si>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</si>
  <si>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</si>
  <si>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</si>
  <si>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</si>
  <si>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</si>
  <si>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</si>
  <si>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</si>
  <si>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</si>
  <si>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</si>
  <si>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</si>
  <si>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</si>
  <si>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</si>
  <si>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</si>
  <si>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</si>
  <si>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</si>
  <si>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</si>
  <si>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</si>
  <si>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</si>
  <si>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</si>
  <si>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</si>
  <si>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</si>
  <si>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</si>
  <si>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</si>
  <si>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</si>
  <si>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</si>
  <si>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</si>
  <si>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</si>
  <si>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</si>
  <si>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</si>
  <si>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</si>
  <si>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</si>
  <si>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</si>
  <si>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</si>
  <si>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</si>
  <si>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</si>
  <si>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</si>
  <si>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</si>
  <si>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</si>
  <si>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</si>
  <si>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</si>
  <si>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</si>
  <si>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</si>
  <si>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</si>
  <si>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</si>
  <si>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</si>
  <si>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</si>
  <si>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</si>
  <si>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</si>
  <si>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</si>
  <si>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</si>
  <si>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</si>
  <si>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</si>
  <si>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</si>
  <si>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</si>
  <si>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</si>
  <si>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</si>
  <si>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</si>
  <si>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</si>
  <si>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</si>
  <si>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</si>
  <si>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</si>
  <si>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</si>
  <si>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</si>
  <si>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</si>
  <si>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</si>
  <si>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</si>
  <si>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</si>
  <si>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</si>
  <si>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</si>
  <si>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</si>
  <si>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</si>
  <si>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</si>
  <si>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</si>
  <si>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</si>
  <si>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</si>
  <si>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</si>
  <si>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</si>
  <si>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</si>
  <si>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</si>
  <si>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</si>
  <si>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</si>
  <si>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</si>
  <si>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</si>
  <si>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</si>
  <si>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</si>
  <si>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</si>
  <si>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</si>
  <si>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</si>
  <si>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</si>
  <si>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</si>
  <si>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</si>
  <si>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</si>
  <si>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</si>
  <si>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</si>
  <si>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</si>
  <si>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</si>
  <si>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</si>
  <si>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</si>
  <si>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</si>
  <si>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</si>
  <si>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</si>
  <si>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</si>
  <si>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</si>
  <si>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</si>
  <si>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</si>
  <si>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</si>
  <si>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</si>
  <si>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</si>
  <si>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</si>
  <si>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</si>
  <si>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</si>
  <si>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</si>
  <si>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</si>
  <si>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</si>
  <si>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</si>
  <si>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</si>
  <si>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</si>
  <si>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</si>
  <si>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</si>
  <si>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</si>
  <si>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</si>
  <si>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</si>
  <si>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</si>
  <si>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</si>
  <si>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</si>
  <si>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</si>
  <si>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</si>
  <si>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</si>
  <si>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</si>
  <si>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</si>
  <si>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</si>
  <si>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</si>
  <si>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</si>
  <si>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</si>
  <si>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</si>
  <si>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</si>
  <si>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</si>
  <si>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</si>
  <si>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</si>
  <si>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</si>
  <si>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</si>
  <si>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</si>
  <si>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</si>
  <si>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</si>
  <si>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</si>
  <si>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</si>
  <si>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</si>
  <si>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</si>
  <si>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</si>
  <si>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</si>
  <si>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</si>
  <si>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</si>
  <si>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</si>
  <si>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</si>
  <si>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</si>
  <si>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</si>
  <si>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</si>
  <si>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</si>
  <si>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</si>
  <si>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</si>
  <si>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</si>
  <si>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</si>
  <si>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</si>
  <si>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</si>
  <si>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</si>
  <si>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</si>
  <si>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</si>
  <si>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</si>
  <si>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</si>
  <si>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</si>
  <si>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</si>
  <si>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</si>
  <si>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</si>
  <si>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</si>
  <si>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</si>
  <si>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</si>
  <si>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</si>
  <si>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</si>
  <si>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</si>
  <si>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</si>
  <si>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</si>
  <si>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</si>
  <si>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</si>
  <si>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</si>
  <si>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</si>
  <si>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</si>
  <si>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</si>
  <si>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</si>
  <si>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</si>
  <si>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</si>
  <si>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</si>
  <si>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</si>
  <si>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</si>
  <si>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</si>
  <si>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</si>
  <si>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</si>
  <si>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</si>
  <si>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</si>
  <si>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</si>
  <si>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</si>
  <si>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</si>
  <si>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</si>
  <si>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</si>
  <si>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</si>
  <si>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</si>
  <si>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</si>
  <si>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</si>
  <si>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</si>
  <si>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</si>
  <si>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</si>
  <si>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</si>
  <si>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</si>
  <si>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</si>
  <si>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</si>
  <si>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</si>
  <si>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</si>
  <si>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</si>
  <si>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</si>
  <si>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</si>
  <si>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</si>
  <si>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</si>
  <si>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</si>
  <si>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</si>
  <si>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</si>
  <si>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</si>
  <si>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</si>
  <si>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</si>
  <si>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</si>
  <si>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</si>
  <si>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</si>
  <si>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</si>
  <si>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</si>
  <si>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</si>
  <si>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</si>
  <si>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</si>
  <si>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</si>
  <si>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</si>
  <si>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</si>
  <si>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</si>
  <si>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</si>
  <si>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</si>
  <si>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</si>
  <si>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</si>
  <si>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</si>
  <si>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</si>
  <si>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</si>
  <si>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</si>
  <si>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</si>
  <si>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</si>
  <si>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</si>
  <si>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</si>
  <si>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</si>
  <si>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</si>
  <si>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</si>
  <si>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</si>
  <si>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</si>
  <si>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</si>
  <si>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</si>
  <si>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</si>
  <si>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</si>
  <si>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</si>
  <si>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</si>
  <si>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</si>
  <si>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</si>
  <si>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</si>
  <si>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</si>
  <si>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</si>
  <si>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</si>
  <si>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</si>
  <si>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</si>
  <si>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</si>
  <si>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</si>
  <si>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</si>
  <si>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</si>
  <si>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</si>
  <si>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</si>
  <si>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</si>
  <si>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</si>
  <si>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</si>
  <si>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</si>
  <si>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</si>
  <si>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</si>
  <si>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</si>
  <si>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</si>
  <si>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</si>
  <si>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</si>
  <si>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</si>
  <si>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</si>
  <si>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</si>
  <si>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</si>
  <si>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</si>
  <si>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</si>
  <si>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</si>
  <si>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</si>
  <si>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</si>
  <si>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</si>
  <si>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</si>
  <si>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</si>
  <si>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</si>
  <si>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</si>
  <si>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</si>
  <si>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</si>
  <si>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</si>
  <si>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</si>
  <si>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</si>
  <si>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</si>
  <si>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</si>
  <si>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</si>
  <si>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</si>
  <si>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</si>
  <si>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</si>
  <si>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</si>
  <si>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</si>
  <si>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</si>
  <si>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</si>
  <si>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</si>
  <si>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</si>
  <si>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</si>
  <si>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</si>
  <si>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</si>
  <si>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</si>
  <si>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</si>
  <si>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</si>
  <si>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</si>
  <si>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</si>
  <si>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</si>
  <si>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</si>
  <si>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</si>
  <si>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</si>
  <si>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</si>
  <si>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</si>
  <si>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</si>
  <si>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</si>
  <si>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</si>
  <si>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</si>
  <si>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</si>
  <si>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</si>
  <si>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</si>
  <si>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</si>
  <si>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</si>
  <si>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</si>
  <si>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</si>
  <si>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</si>
  <si>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</si>
  <si>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</si>
  <si>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</si>
  <si>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</si>
  <si>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</si>
  <si>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</si>
  <si>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</si>
  <si>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</si>
  <si>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</si>
  <si>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</si>
  <si>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</si>
  <si>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</si>
  <si>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</si>
  <si>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</si>
  <si>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</si>
  <si>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</si>
  <si>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</si>
  <si>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</si>
  <si>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</si>
  <si>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</si>
  <si>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</si>
  <si>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</si>
  <si>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</si>
  <si>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</si>
  <si>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</si>
  <si>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</si>
  <si>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</si>
  <si>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</si>
  <si>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</si>
  <si>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</si>
  <si>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</si>
  <si>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</si>
  <si>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</si>
  <si>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</si>
  <si>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</si>
  <si>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</si>
  <si>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</si>
  <si>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</si>
  <si>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</si>
  <si>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</si>
  <si>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</si>
  <si>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</si>
  <si>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</si>
  <si>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</si>
  <si>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</si>
  <si>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</si>
  <si>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</si>
  <si>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</si>
  <si>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</si>
  <si>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</si>
  <si>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</si>
  <si>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</si>
  <si>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</si>
  <si>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</si>
  <si>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</si>
  <si>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</si>
  <si>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</si>
  <si>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</si>
  <si>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</si>
  <si>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</si>
  <si>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</si>
  <si>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</si>
  <si>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</si>
  <si>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</si>
  <si>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</si>
  <si>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</si>
  <si>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</si>
  <si>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</si>
  <si>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</si>
  <si>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</si>
  <si>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</si>
  <si>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</si>
  <si>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</si>
  <si>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</si>
  <si>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</si>
  <si>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</si>
  <si>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</si>
  <si>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</si>
  <si>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</si>
  <si>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</si>
  <si>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</si>
  <si>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</si>
  <si>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</si>
  <si>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</si>
  <si>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</si>
  <si>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</si>
  <si>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</si>
  <si>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</si>
  <si>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</si>
  <si>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</si>
  <si>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</si>
  <si>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</si>
  <si>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</si>
  <si>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</si>
  <si>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</si>
  <si>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</si>
  <si>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</si>
  <si>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</si>
  <si>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</si>
  <si>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</si>
  <si>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</si>
  <si>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</si>
  <si>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</si>
  <si>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</si>
  <si>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</si>
  <si>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</si>
  <si>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</si>
  <si>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</si>
  <si>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</si>
  <si>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</si>
  <si>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</si>
  <si>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</si>
  <si>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</si>
  <si>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</si>
  <si>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</si>
  <si>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</si>
  <si>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</si>
  <si>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</si>
  <si>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</si>
  <si>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</si>
  <si>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</si>
  <si>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</si>
  <si>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</si>
  <si>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</si>
  <si>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</si>
  <si>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</si>
  <si>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</si>
  <si>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</si>
  <si>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</si>
  <si>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</si>
  <si>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</si>
  <si>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</si>
  <si>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</si>
  <si>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</si>
  <si>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</si>
  <si>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</si>
  <si>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</si>
  <si>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</si>
  <si>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</si>
  <si>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</si>
  <si>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</si>
  <si>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</si>
  <si>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</si>
  <si>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</si>
  <si>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</si>
  <si>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</si>
  <si>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</si>
  <si>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</si>
  <si>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</si>
  <si>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</si>
  <si>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</si>
  <si>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</si>
  <si>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</si>
  <si>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</si>
  <si>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</si>
  <si>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</si>
  <si>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</si>
  <si>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</si>
  <si>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</si>
  <si>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</si>
  <si>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</si>
  <si>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</si>
  <si>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</si>
  <si>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</si>
  <si>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</si>
  <si>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</si>
  <si>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</si>
  <si>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</si>
  <si>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</si>
  <si>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</si>
  <si>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</si>
  <si>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</si>
  <si>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</si>
  <si>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</si>
  <si>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</si>
  <si>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</si>
  <si>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</si>
  <si>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</si>
  <si>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</si>
  <si>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</si>
  <si>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</si>
  <si>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</si>
  <si>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</si>
  <si>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</si>
  <si>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</si>
  <si>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</si>
  <si>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</si>
  <si>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</si>
  <si>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</si>
  <si>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</si>
  <si>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</si>
  <si>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</si>
  <si>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</si>
  <si>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</si>
  <si>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</si>
  <si>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</si>
  <si>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</si>
  <si>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</si>
  <si>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</si>
  <si>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</si>
  <si>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</si>
  <si>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</si>
  <si>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</si>
  <si>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</si>
  <si>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</si>
  <si>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</si>
  <si>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</si>
  <si>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</si>
  <si>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</si>
  <si>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</si>
  <si>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</si>
  <si>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</si>
  <si>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</si>
  <si>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</si>
  <si>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</si>
  <si>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</si>
  <si>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</si>
  <si>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</si>
  <si>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</si>
  <si>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</si>
  <si>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</si>
  <si>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</si>
  <si>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</si>
  <si>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</si>
  <si>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</si>
  <si>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</si>
  <si>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</si>
  <si>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</si>
  <si>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</si>
  <si>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</si>
  <si>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</si>
  <si>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</si>
  <si>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</si>
  <si>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</si>
  <si>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</si>
  <si>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</si>
  <si>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</si>
  <si>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</si>
  <si>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</si>
  <si>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</si>
  <si>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</si>
  <si>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</si>
  <si>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</si>
  <si>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</si>
  <si>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</si>
  <si>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</si>
  <si>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</si>
  <si>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</si>
  <si>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</si>
  <si>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</si>
  <si>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</si>
  <si>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</si>
  <si>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</si>
  <si>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</si>
  <si>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</si>
  <si>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</si>
  <si>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</si>
  <si>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</si>
  <si>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</si>
  <si>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</si>
  <si>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</si>
  <si>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</si>
  <si>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</si>
  <si>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</si>
  <si>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</si>
  <si>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</si>
  <si>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</si>
  <si>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</si>
  <si>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</si>
  <si>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</si>
  <si>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</si>
  <si>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</si>
  <si>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</si>
  <si>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</si>
  <si>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</si>
  <si>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</si>
  <si>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</si>
  <si>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</si>
  <si>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</si>
  <si>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</si>
  <si>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</si>
  <si>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</si>
  <si>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</si>
  <si>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</si>
  <si>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</si>
  <si>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</si>
  <si>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</si>
  <si>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</si>
  <si>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</si>
  <si>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</si>
  <si>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</si>
  <si>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</si>
  <si>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</si>
  <si>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</si>
  <si>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</si>
  <si>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</si>
  <si>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</si>
  <si>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</si>
  <si>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</si>
  <si>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</si>
  <si>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</si>
  <si>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</si>
  <si>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</si>
  <si>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</si>
  <si>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</si>
  <si>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</si>
  <si>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</si>
  <si>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</si>
  <si>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</si>
  <si>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</si>
  <si>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</si>
  <si>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</si>
  <si>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</si>
  <si>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</si>
  <si>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</si>
  <si>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</si>
  <si>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</si>
  <si>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</si>
  <si>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</si>
  <si>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</si>
  <si>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</si>
  <si>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</si>
  <si>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</si>
  <si>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</si>
  <si>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</si>
  <si>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</si>
  <si>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</si>
  <si>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</si>
  <si>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</si>
  <si>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</si>
  <si>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</si>
  <si>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</si>
  <si>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</si>
  <si>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</si>
  <si>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</si>
  <si>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</si>
  <si>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</si>
  <si>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</si>
  <si>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</si>
  <si>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</si>
  <si>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</si>
  <si>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</si>
  <si>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</si>
  <si>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</si>
  <si>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</si>
  <si>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</si>
  <si>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</si>
  <si>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</si>
  <si>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</si>
  <si>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</si>
  <si>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</si>
  <si>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</si>
  <si>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</si>
  <si>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</si>
  <si>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</si>
  <si>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</si>
  <si>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</si>
  <si>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</si>
  <si>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</si>
  <si>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</si>
  <si>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</si>
  <si>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</si>
  <si>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</si>
  <si>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</si>
  <si>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</si>
  <si>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</si>
  <si>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</si>
  <si>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</si>
  <si>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</si>
  <si>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</si>
  <si>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</si>
  <si>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</si>
  <si>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</si>
  <si>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</si>
  <si>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</si>
  <si>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</si>
  <si>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</si>
  <si>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</si>
  <si>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</si>
  <si>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</si>
  <si>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</si>
  <si>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</si>
  <si>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</si>
  <si>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</si>
  <si>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</si>
  <si>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</si>
  <si>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</si>
  <si>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</si>
  <si>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</si>
  <si>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</si>
  <si>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</si>
  <si>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</si>
  <si>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</si>
  <si>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</si>
  <si>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</si>
  <si>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</si>
  <si>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</si>
  <si>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</si>
  <si>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</si>
  <si>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</si>
  <si>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</si>
  <si>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</si>
  <si>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</si>
  <si>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</si>
  <si>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</si>
  <si>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</si>
  <si>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</si>
  <si>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</si>
  <si>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</si>
  <si>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</si>
  <si>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</si>
  <si>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</si>
  <si>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</si>
  <si>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</si>
  <si>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</si>
  <si>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</si>
  <si>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</si>
  <si>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</si>
  <si>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</si>
  <si>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</si>
  <si>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</si>
  <si>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</si>
  <si>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</si>
  <si>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</si>
  <si>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</si>
  <si>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</si>
  <si>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</si>
  <si>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</si>
  <si>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</si>
  <si>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</si>
  <si>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</si>
  <si>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</si>
  <si>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</si>
  <si>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</si>
  <si>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</si>
  <si>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</si>
  <si>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</si>
  <si>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</si>
  <si>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</si>
  <si>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</si>
  <si>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</si>
  <si>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</si>
  <si>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</si>
  <si>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</si>
  <si>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</si>
  <si>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</si>
  <si>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</si>
  <si>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</si>
  <si>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</si>
  <si>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</si>
  <si>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</si>
  <si>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</si>
  <si>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</si>
  <si>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</si>
  <si>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</si>
  <si>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</si>
  <si>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</si>
  <si>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</si>
  <si>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</si>
  <si>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</si>
  <si>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</si>
  <si>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</si>
  <si>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</si>
  <si>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</si>
  <si>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</si>
  <si>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</si>
  <si>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</si>
  <si>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</si>
  <si>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</si>
  <si>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</si>
  <si>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</si>
  <si>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</si>
  <si>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</si>
  <si>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</si>
  <si>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</si>
  <si>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</si>
  <si>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</si>
  <si>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</si>
  <si>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</si>
  <si>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</si>
  <si>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</si>
  <si>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</si>
  <si>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</si>
  <si>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</si>
  <si>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</si>
  <si>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</si>
  <si>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</si>
  <si>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</si>
  <si>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</si>
  <si>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</si>
  <si>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</si>
  <si>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</si>
  <si>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</si>
  <si>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</si>
  <si>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</si>
  <si>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</si>
  <si>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</si>
  <si>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</si>
  <si>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</si>
  <si>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</si>
  <si>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</si>
  <si>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</si>
  <si>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</si>
  <si>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</si>
  <si>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</si>
  <si>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</si>
  <si>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</si>
  <si>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</si>
  <si>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</si>
  <si>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</si>
  <si>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</si>
  <si>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</si>
  <si>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</si>
  <si>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</si>
  <si>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</si>
  <si>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</si>
  <si>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</si>
  <si>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</si>
  <si>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</si>
  <si>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</si>
  <si>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</si>
  <si>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</si>
  <si>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</si>
  <si>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</si>
  <si>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</si>
  <si>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</si>
  <si>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</si>
  <si>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</si>
  <si>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</si>
  <si>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</si>
  <si>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</si>
  <si>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</si>
  <si>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</si>
  <si>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</si>
  <si>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</si>
  <si>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</si>
  <si>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</si>
  <si>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</si>
  <si>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</si>
  <si>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</si>
  <si>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</si>
  <si>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</si>
  <si>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</si>
  <si>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</si>
  <si>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</si>
  <si>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</si>
  <si>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</si>
  <si>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</si>
  <si>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</si>
  <si>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</si>
  <si>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</si>
  <si>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</si>
  <si>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</si>
  <si>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</si>
  <si>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</si>
  <si>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</si>
  <si>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</si>
  <si>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</si>
  <si>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</si>
  <si>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</si>
  <si>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</si>
  <si>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</si>
  <si>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</si>
  <si>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</si>
  <si>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</si>
  <si>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</si>
  <si>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</si>
  <si>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</si>
  <si>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</si>
  <si>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</si>
  <si>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</si>
  <si>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</si>
  <si>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</si>
  <si>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</si>
  <si>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</si>
  <si>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</si>
  <si>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</si>
  <si>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</si>
  <si>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</si>
  <si>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</si>
  <si>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</si>
  <si>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</si>
  <si>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</si>
  <si>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</si>
  <si>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</si>
  <si>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</si>
  <si>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</si>
  <si>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</si>
  <si>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</si>
  <si>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</si>
  <si>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</si>
  <si>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</si>
  <si>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</si>
  <si>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</si>
  <si>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</si>
  <si>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</si>
  <si>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</si>
  <si>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</si>
  <si>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</si>
  <si>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</si>
  <si>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</si>
  <si>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</si>
  <si>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</si>
  <si>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</si>
  <si>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</si>
  <si>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</si>
  <si>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</si>
  <si>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</si>
  <si>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</si>
  <si>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</si>
  <si>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</si>
  <si>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</si>
  <si>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</si>
  <si>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</si>
  <si>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</si>
  <si>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</si>
  <si>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</si>
  <si>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</si>
  <si>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</si>
  <si>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</si>
  <si>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</si>
  <si>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</si>
  <si>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</si>
  <si>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</si>
  <si>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</si>
  <si>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</si>
  <si>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</si>
  <si>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</si>
  <si>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</si>
  <si>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</si>
  <si>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</si>
  <si>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</si>
  <si>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</si>
  <si>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</si>
  <si>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</si>
  <si>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</si>
  <si>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</si>
  <si>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</si>
  <si>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</si>
  <si>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</si>
  <si>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</si>
  <si>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</si>
  <si>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</si>
  <si>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</si>
  <si>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</si>
  <si>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</si>
  <si>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</si>
  <si>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</si>
  <si>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</si>
  <si>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</si>
  <si>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</si>
  <si>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</si>
  <si>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</si>
  <si>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</si>
  <si>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</si>
  <si>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</si>
  <si>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</si>
  <si>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</si>
  <si>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</si>
  <si>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</si>
  <si>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</si>
  <si>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</si>
  <si>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</si>
  <si>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</si>
  <si>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</si>
  <si>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</si>
  <si>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</si>
  <si>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</si>
  <si>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</si>
  <si>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</si>
  <si>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</si>
  <si>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</si>
  <si>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</si>
  <si>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</si>
  <si>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</si>
  <si>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</si>
  <si>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</si>
  <si>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</si>
  <si>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</si>
  <si>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</si>
  <si>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</si>
  <si>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</si>
  <si>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</si>
  <si>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</si>
  <si>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</si>
  <si>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</si>
  <si>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</si>
  <si>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</si>
  <si>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</si>
  <si>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</si>
  <si>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</si>
  <si>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</si>
  <si>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</si>
  <si>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</si>
  <si>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</si>
  <si>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</si>
  <si>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</si>
  <si>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</si>
  <si>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</si>
  <si>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</si>
  <si>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</si>
  <si>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</si>
  <si>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</si>
  <si>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</si>
  <si>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</si>
  <si>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</si>
  <si>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</si>
  <si>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</si>
  <si>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</si>
  <si>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</si>
  <si>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</si>
  <si>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</si>
  <si>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</si>
  <si>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</si>
  <si>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</si>
  <si>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</si>
  <si>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</si>
  <si>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</si>
  <si>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</si>
  <si>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</si>
  <si>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</si>
  <si>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</si>
  <si>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</si>
  <si>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</si>
  <si>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</si>
  <si>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</si>
  <si>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</si>
  <si>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</si>
  <si>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</si>
  <si>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</si>
  <si>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</si>
  <si>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</si>
  <si>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</si>
  <si>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</si>
  <si>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</si>
  <si>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</si>
  <si>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</si>
  <si>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</si>
  <si>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</si>
  <si>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</si>
  <si>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</si>
  <si>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</si>
  <si>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</si>
  <si>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</si>
  <si>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</si>
  <si>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</si>
  <si>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</si>
  <si>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</si>
  <si>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</si>
  <si>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</si>
  <si>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</si>
  <si>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</si>
  <si>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</si>
  <si>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</si>
  <si>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</si>
  <si>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</si>
  <si>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</si>
  <si>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</si>
  <si>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</si>
  <si>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</si>
  <si>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</si>
  <si>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</si>
  <si>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</si>
  <si>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</si>
  <si>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</si>
  <si>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</si>
  <si>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</si>
  <si>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</si>
  <si>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</si>
  <si>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</si>
  <si>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</si>
  <si>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</si>
  <si>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</si>
  <si>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</si>
  <si>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</si>
  <si>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</si>
  <si>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</si>
  <si>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</si>
  <si>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</si>
  <si>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</si>
  <si>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</si>
  <si>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</si>
  <si>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</si>
  <si>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</si>
  <si>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</si>
  <si>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</si>
  <si>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</si>
  <si>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</si>
  <si>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</si>
  <si>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</si>
  <si>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</si>
  <si>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</si>
  <si>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</si>
  <si>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</si>
  <si>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</si>
  <si>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</si>
  <si>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</si>
  <si>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</si>
  <si>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</si>
  <si>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</si>
  <si>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</si>
  <si>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</si>
  <si>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</si>
  <si>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</si>
  <si>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</si>
  <si>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</si>
  <si>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</si>
  <si>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</si>
  <si>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</si>
  <si>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</si>
  <si>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</si>
  <si>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</si>
  <si>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</si>
  <si>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</si>
  <si>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</si>
  <si>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</si>
  <si>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</si>
  <si>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</si>
  <si>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</si>
  <si>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</si>
  <si>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</si>
  <si>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</si>
  <si>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</si>
  <si>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</si>
  <si>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</si>
  <si>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</si>
  <si>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</si>
  <si>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</si>
  <si>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</si>
  <si>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</si>
  <si>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</si>
  <si>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</si>
  <si>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</si>
  <si>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</si>
  <si>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</si>
  <si>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</si>
  <si>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</si>
  <si>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</si>
  <si>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</si>
  <si>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</si>
  <si>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</si>
  <si>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</si>
  <si>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</si>
  <si>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</si>
  <si>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</si>
  <si>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</si>
  <si>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</si>
  <si>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</si>
  <si>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</si>
  <si>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</si>
  <si>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</si>
  <si>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</si>
  <si>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</si>
  <si>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</si>
  <si>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</si>
  <si>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</si>
  <si>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</si>
  <si>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</si>
  <si>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</si>
  <si>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</si>
  <si>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</si>
  <si>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</si>
  <si>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</si>
  <si>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</si>
  <si>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</si>
  <si>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</si>
  <si>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</si>
  <si>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</si>
  <si>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</si>
  <si>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</si>
  <si>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</si>
  <si>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</si>
  <si>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</si>
  <si>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</si>
  <si>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</si>
  <si>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</si>
  <si>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</si>
  <si>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</si>
  <si>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</si>
  <si>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</si>
  <si>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</si>
  <si>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</si>
  <si>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</si>
  <si>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</si>
  <si>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</si>
  <si>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</si>
  <si>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</si>
  <si>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</si>
  <si>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</si>
  <si>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</si>
  <si>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</si>
  <si>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</si>
  <si>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</si>
  <si>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</si>
  <si>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</si>
  <si>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</si>
  <si>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</si>
  <si>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</si>
  <si>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</si>
  <si>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</si>
  <si>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</si>
  <si>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</si>
  <si>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</si>
  <si>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</si>
  <si>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</si>
  <si>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</si>
  <si>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</si>
  <si>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</si>
  <si>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</si>
  <si>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</si>
  <si>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</si>
  <si>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</si>
  <si>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</si>
  <si>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</si>
  <si>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</si>
  <si>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</si>
  <si>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</si>
  <si>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</si>
  <si>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</si>
  <si>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</si>
  <si>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</si>
  <si>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</si>
  <si>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</si>
  <si>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</si>
  <si>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</si>
  <si>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</si>
  <si>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</si>
  <si>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</si>
  <si>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</si>
  <si>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</si>
  <si>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</si>
  <si>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</si>
  <si>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</si>
  <si>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</si>
  <si>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</si>
  <si>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</si>
  <si>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</si>
  <si>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</si>
  <si>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</si>
  <si>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</si>
  <si>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</si>
  <si>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</si>
  <si>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</si>
  <si>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</si>
  <si>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</si>
  <si>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</si>
  <si>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</si>
  <si>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</si>
  <si>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</si>
  <si>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</si>
  <si>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</si>
  <si>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</si>
  <si>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</si>
  <si>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</si>
  <si>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</si>
  <si>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</si>
  <si>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</si>
  <si>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</si>
  <si>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</si>
  <si>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</si>
  <si>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</si>
  <si>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</si>
  <si>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</si>
  <si>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</si>
  <si>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</si>
  <si>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</si>
  <si>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</si>
  <si>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</si>
  <si>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</si>
  <si>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</si>
  <si>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</si>
  <si>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</si>
  <si>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</si>
  <si>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</si>
  <si>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</si>
  <si>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</si>
  <si>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</si>
  <si>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</si>
  <si>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</si>
  <si>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</si>
  <si>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</si>
  <si>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</si>
  <si>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</si>
  <si>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</si>
  <si>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</si>
  <si>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</si>
  <si>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</si>
  <si>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</si>
  <si>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</si>
  <si>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</si>
  <si>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</si>
  <si>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</si>
  <si>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</si>
  <si>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</si>
  <si>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</si>
  <si>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</si>
  <si>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</si>
  <si>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</si>
  <si>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</si>
  <si>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</si>
  <si>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</si>
  <si>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</si>
  <si>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</si>
  <si>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</si>
  <si>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</si>
  <si>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</si>
  <si>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</si>
  <si>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</si>
  <si>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</si>
  <si>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</si>
  <si>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</si>
  <si>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</si>
  <si>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</si>
  <si>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</si>
  <si>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</si>
  <si>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</si>
  <si>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</si>
  <si>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</si>
  <si>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</si>
  <si>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</si>
  <si>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</si>
  <si>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</si>
  <si>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</si>
  <si>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</si>
  <si>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</si>
  <si>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</si>
  <si>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</si>
  <si>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</si>
  <si>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</si>
  <si>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</si>
  <si>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</si>
  <si>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</si>
  <si>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</si>
  <si>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</si>
  <si>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</si>
  <si>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</si>
  <si>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</si>
  <si>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</si>
  <si>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</si>
  <si>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</si>
  <si>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</si>
  <si>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</si>
  <si>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</si>
  <si>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</si>
  <si>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</si>
  <si>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</si>
  <si>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</si>
  <si>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</si>
  <si>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</si>
  <si>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</si>
  <si>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</si>
  <si>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</si>
  <si>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</si>
  <si>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</si>
  <si>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</si>
  <si>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</si>
  <si>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</si>
  <si>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</si>
  <si>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</si>
  <si>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</si>
  <si>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</si>
  <si>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</si>
  <si>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</si>
  <si>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</si>
  <si>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</si>
  <si>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</si>
  <si>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</si>
  <si>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</si>
  <si>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</si>
  <si>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</si>
  <si>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</si>
  <si>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</si>
  <si>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</si>
  <si>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</si>
  <si>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</si>
  <si>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</si>
  <si>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</si>
  <si>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</si>
  <si>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</si>
  <si>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</si>
  <si>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</si>
  <si>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</si>
  <si>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</si>
  <si>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</si>
  <si>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</si>
  <si>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</si>
  <si>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</si>
  <si>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</si>
  <si>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</si>
  <si>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</si>
  <si>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</si>
  <si>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</si>
  <si>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</si>
  <si>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</si>
  <si>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</si>
  <si>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</si>
  <si>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</si>
  <si>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</si>
  <si>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</si>
  <si>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</si>
  <si>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</si>
  <si>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</si>
  <si>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</si>
  <si>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</si>
  <si>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</si>
  <si>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</si>
  <si>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</si>
  <si>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</si>
  <si>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</si>
  <si>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</si>
  <si>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</si>
  <si>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</si>
  <si>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</si>
  <si>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</si>
  <si>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</si>
  <si>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</si>
  <si>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</si>
  <si>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</si>
  <si>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</si>
  <si>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</si>
  <si>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</si>
  <si>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</si>
  <si>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</si>
  <si>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</si>
  <si>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</si>
  <si>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</si>
  <si>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</si>
  <si>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</si>
  <si>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</si>
  <si>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</si>
  <si>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</si>
  <si>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</si>
  <si>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</si>
  <si>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</si>
  <si>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</si>
  <si>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</si>
  <si>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</si>
  <si>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</si>
  <si>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</si>
  <si>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</si>
  <si>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</si>
  <si>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</si>
  <si>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</si>
  <si>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</si>
  <si>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</si>
  <si>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</si>
  <si>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</si>
  <si>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</si>
  <si>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</si>
  <si>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</si>
  <si>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</si>
  <si>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</si>
  <si>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</si>
  <si>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</si>
  <si>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</si>
  <si>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</si>
  <si>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</si>
  <si>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</si>
  <si>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</si>
  <si>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</si>
  <si>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</si>
  <si>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</si>
  <si>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</si>
  <si>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</si>
  <si>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</si>
  <si>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</si>
  <si>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</si>
  <si>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</si>
  <si>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</si>
  <si>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</si>
  <si>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</si>
  <si>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</si>
  <si>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</si>
  <si>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</si>
  <si>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</si>
  <si>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</si>
  <si>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</si>
  <si>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</si>
  <si>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</si>
  <si>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</si>
  <si>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</si>
  <si>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</si>
  <si>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</si>
  <si>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</si>
  <si>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</si>
  <si>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</si>
  <si>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</si>
  <si>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</si>
  <si>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</si>
  <si>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</si>
  <si>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</si>
  <si>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</si>
  <si>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</si>
  <si>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</si>
  <si>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</si>
  <si>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</si>
  <si>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</si>
  <si>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</si>
  <si>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</si>
  <si>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</si>
  <si>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</si>
  <si>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</si>
  <si>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</si>
  <si>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</si>
  <si>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</si>
  <si>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</si>
  <si>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</si>
  <si>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</si>
  <si>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</si>
  <si>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</si>
  <si>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</si>
  <si>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</si>
  <si>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</si>
  <si>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</si>
  <si>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</si>
  <si>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</si>
  <si>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</si>
  <si>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</si>
  <si>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</si>
  <si>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</si>
  <si>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</si>
  <si>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</si>
  <si>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</si>
  <si>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</si>
  <si>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</si>
  <si>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</si>
  <si>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</si>
  <si>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</si>
  <si>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</si>
  <si>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</si>
  <si>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</si>
  <si>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</si>
  <si>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</si>
  <si>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</si>
  <si>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</si>
  <si>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</si>
  <si>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</si>
  <si>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</si>
  <si>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</si>
  <si>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</si>
  <si>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</si>
  <si>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</si>
  <si>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</si>
  <si>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</si>
  <si>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</si>
  <si>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</si>
  <si>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</si>
  <si>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</si>
  <si>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</si>
  <si>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</si>
  <si>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</si>
  <si>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</si>
  <si>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</si>
  <si>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</si>
  <si>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</si>
  <si>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</si>
  <si>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</si>
  <si>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</si>
  <si>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</si>
  <si>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</si>
  <si>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</si>
  <si>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</si>
  <si>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</si>
  <si>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</si>
  <si>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</si>
  <si>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</si>
  <si>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</si>
  <si>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</si>
  <si>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</si>
  <si>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</si>
  <si>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</si>
  <si>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</si>
  <si>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</si>
  <si>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</si>
  <si>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</si>
  <si>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</si>
  <si>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</si>
  <si>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</si>
  <si>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</si>
  <si>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</si>
  <si>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</si>
  <si>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</si>
  <si>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</si>
  <si>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</si>
  <si>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</si>
  <si>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</si>
  <si>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</si>
  <si>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</si>
  <si>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</si>
  <si>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</si>
  <si>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</si>
  <si>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</si>
  <si>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</si>
  <si>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</si>
  <si>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</si>
  <si>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</si>
  <si>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</si>
  <si>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</si>
  <si>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</si>
  <si>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</si>
  <si>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</si>
  <si>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</si>
  <si>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</si>
  <si>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</si>
  <si>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</si>
  <si>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</si>
  <si>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</si>
  <si>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</si>
  <si>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</si>
  <si>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</si>
  <si>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</si>
  <si>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</si>
  <si>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</si>
  <si>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</si>
  <si>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</si>
  <si>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</si>
  <si>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</si>
  <si>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</si>
  <si>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</si>
  <si>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</si>
  <si>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</si>
  <si>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</si>
  <si>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</si>
  <si>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</si>
  <si>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</si>
  <si>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</si>
  <si>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</si>
  <si>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</si>
  <si>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</si>
  <si>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</si>
  <si>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</si>
  <si>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</si>
  <si>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</si>
  <si>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</si>
  <si>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</si>
  <si>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</si>
  <si>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</si>
  <si>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</si>
  <si>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</si>
  <si>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</si>
  <si>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</si>
  <si>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</si>
  <si>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</si>
  <si>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</si>
  <si>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</si>
  <si>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</si>
  <si>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</si>
  <si>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</si>
  <si>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</si>
  <si>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</si>
  <si>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</si>
  <si>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</si>
  <si>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</si>
  <si>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</si>
  <si>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</si>
  <si>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</si>
  <si>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</si>
  <si>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</si>
  <si>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</si>
  <si>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</si>
  <si>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</si>
  <si>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</si>
  <si>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</si>
  <si>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</si>
  <si>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</si>
  <si>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</si>
  <si>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</si>
  <si>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</si>
  <si>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</si>
  <si>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</si>
  <si>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</si>
  <si>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</si>
  <si>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</si>
  <si>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</si>
  <si>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</si>
  <si>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</si>
  <si>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</si>
  <si>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</si>
  <si>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</si>
  <si>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</si>
  <si>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</si>
  <si>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</si>
  <si>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</si>
  <si>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</si>
  <si>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</si>
  <si>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</si>
  <si>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</si>
  <si>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</si>
  <si>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</si>
  <si>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</si>
  <si>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</si>
  <si>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</si>
  <si>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</si>
  <si>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</si>
  <si>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</si>
  <si>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</si>
  <si>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</si>
  <si>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</si>
  <si>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</si>
  <si>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</si>
  <si>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</si>
  <si>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</si>
  <si>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</si>
  <si>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</si>
  <si>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</si>
  <si>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</si>
  <si>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</si>
  <si>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</si>
  <si>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</si>
  <si>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</si>
  <si>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</si>
  <si>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</si>
  <si>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</si>
  <si>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</si>
  <si>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</si>
  <si>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</si>
  <si>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</si>
  <si>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</si>
  <si>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</si>
  <si>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</si>
  <si>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</si>
  <si>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</si>
  <si>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</si>
  <si>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</si>
  <si>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</si>
  <si>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</si>
  <si>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</si>
  <si>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</si>
  <si>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</si>
  <si>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</si>
  <si>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</si>
  <si>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</si>
  <si>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</si>
  <si>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</si>
  <si>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</si>
  <si>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</si>
  <si>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</si>
  <si>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</si>
  <si>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</si>
  <si>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</si>
  <si>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</si>
  <si>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</si>
  <si>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</si>
  <si>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</si>
  <si>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</si>
  <si>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</si>
  <si>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</si>
  <si>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</si>
  <si>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</si>
  <si>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</si>
  <si>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</si>
  <si>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</si>
  <si>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</si>
  <si>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</si>
  <si>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</si>
  <si>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</si>
  <si>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</si>
  <si>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</si>
  <si>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</si>
  <si>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</si>
  <si>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</si>
  <si>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</si>
  <si>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</si>
  <si>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</si>
  <si>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</si>
  <si>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</si>
  <si>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</si>
  <si>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</si>
  <si>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</si>
  <si>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</si>
  <si>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</si>
  <si>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</si>
  <si>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</si>
  <si>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</si>
  <si>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</si>
  <si>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</si>
  <si>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</si>
  <si>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</si>
  <si>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</si>
  <si>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</si>
  <si>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</si>
  <si>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</si>
  <si>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</si>
  <si>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</si>
  <si>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</si>
  <si>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</si>
  <si>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</si>
  <si>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</si>
  <si>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</si>
  <si>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</si>
  <si>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</si>
  <si>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</si>
  <si>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</si>
  <si>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</si>
  <si>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</si>
  <si>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</si>
  <si>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</si>
  <si>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</si>
  <si>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</si>
  <si>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</si>
  <si>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</si>
  <si>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</si>
  <si>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</si>
  <si>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</si>
  <si>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</si>
  <si>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</si>
  <si>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</si>
  <si>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</si>
  <si>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</si>
  <si>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</si>
  <si>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</si>
  <si>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</si>
  <si>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</si>
  <si>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</si>
  <si>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</si>
  <si>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</si>
  <si>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</si>
  <si>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</si>
  <si>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</si>
  <si>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</si>
  <si>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</si>
  <si>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</si>
  <si>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</si>
  <si>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</si>
  <si>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</si>
  <si>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</si>
  <si>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</si>
  <si>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</si>
  <si>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</si>
  <si>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</si>
  <si>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</si>
  <si>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</si>
  <si>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</si>
  <si>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</si>
  <si>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</si>
  <si>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</si>
  <si>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</si>
  <si>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</si>
  <si>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</si>
  <si>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</si>
  <si>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</si>
  <si>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</si>
  <si>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</si>
  <si>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</si>
  <si>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</si>
  <si>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</si>
  <si>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</si>
  <si>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</si>
  <si>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</si>
  <si>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</si>
  <si>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</si>
  <si>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</si>
  <si>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</si>
  <si>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</si>
  <si>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</si>
  <si>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</si>
  <si>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</si>
  <si>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</si>
  <si>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</si>
  <si>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</si>
  <si>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</si>
  <si>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</si>
  <si>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</si>
  <si>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</si>
  <si>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</si>
  <si>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</si>
  <si>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</si>
  <si>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</si>
  <si>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</si>
  <si>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</si>
  <si>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</si>
  <si>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</si>
  <si>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</si>
  <si>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</si>
  <si>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</si>
  <si>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</si>
  <si>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</si>
  <si>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</si>
  <si>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</si>
  <si>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</si>
  <si>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</si>
  <si>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</si>
  <si>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</si>
  <si>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</si>
  <si>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</si>
  <si>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</si>
  <si>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</si>
  <si>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</si>
  <si>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</si>
  <si>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</si>
  <si>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</si>
  <si>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</si>
  <si>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</si>
  <si>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</si>
  <si>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</si>
  <si>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</si>
  <si>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</si>
  <si>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</si>
  <si>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</si>
  <si>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</si>
  <si>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</si>
  <si>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</si>
  <si>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</si>
  <si>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</si>
  <si>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</si>
  <si>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</si>
  <si>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</si>
  <si>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</si>
  <si>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</si>
  <si>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</si>
  <si>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</si>
  <si>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</si>
  <si>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</si>
  <si>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</si>
  <si>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</si>
  <si>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</si>
  <si>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</si>
  <si>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</si>
  <si>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</si>
  <si>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</si>
  <si>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</si>
  <si>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</si>
  <si>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</si>
  <si>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</si>
  <si>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</si>
  <si>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</si>
  <si>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</si>
  <si>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</si>
  <si>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</si>
  <si>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</si>
  <si>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</si>
  <si>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</si>
  <si>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</si>
  <si>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</si>
  <si>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</si>
  <si>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</si>
  <si>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</si>
  <si>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</si>
  <si>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</si>
  <si>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</si>
  <si>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</si>
  <si>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</si>
  <si>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</si>
  <si>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</si>
  <si>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</si>
  <si>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</si>
  <si>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</si>
  <si>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</si>
  <si>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</si>
  <si>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</si>
  <si>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</si>
  <si>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</si>
  <si>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</si>
  <si>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</si>
  <si>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</si>
  <si>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</si>
  <si>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</si>
  <si>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</si>
  <si>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</si>
  <si>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</si>
  <si>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</si>
  <si>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</si>
  <si>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</si>
  <si>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</si>
  <si>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</si>
  <si>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</si>
  <si>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</si>
  <si>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</si>
  <si>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</si>
  <si>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</si>
  <si>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</si>
  <si>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</si>
  <si>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</si>
  <si>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</si>
  <si>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</si>
  <si>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</si>
  <si>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</si>
  <si>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</si>
  <si>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</si>
  <si>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</si>
  <si>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</si>
  <si>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</si>
  <si>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</si>
  <si>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</si>
  <si>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</si>
  <si>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</si>
  <si>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</si>
  <si>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</si>
  <si>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</si>
  <si>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</si>
  <si>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</si>
  <si>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</si>
  <si>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</si>
  <si>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</si>
  <si>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</si>
  <si>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</si>
  <si>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</si>
  <si>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</si>
  <si>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</si>
  <si>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</si>
  <si>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</si>
  <si>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</si>
  <si>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</si>
  <si>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</si>
  <si>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</si>
  <si>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</si>
  <si>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</si>
  <si>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</si>
  <si>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</si>
  <si>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</si>
  <si>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</si>
  <si>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</si>
  <si>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</si>
  <si>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</si>
  <si>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</si>
  <si>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</si>
  <si>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</si>
  <si>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</si>
  <si>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</si>
  <si>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</si>
  <si>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</si>
  <si>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</si>
  <si>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</si>
  <si>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</si>
  <si>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</si>
  <si>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</si>
  <si>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</si>
  <si>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</si>
  <si>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</si>
  <si>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</si>
  <si>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</si>
  <si>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</si>
  <si>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</si>
  <si>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</si>
  <si>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</si>
  <si>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</si>
  <si>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</si>
  <si>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</si>
  <si>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</si>
  <si>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</si>
  <si>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</si>
  <si>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</si>
  <si>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</si>
  <si>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</si>
  <si>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</si>
  <si>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</si>
  <si>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</si>
  <si>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</si>
  <si>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</si>
  <si>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</si>
  <si>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</si>
  <si>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</si>
  <si>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</si>
  <si>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</si>
  <si>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</si>
  <si>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</si>
  <si>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</si>
  <si>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</si>
  <si>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</si>
  <si>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</si>
  <si>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</si>
  <si>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</si>
  <si>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</si>
  <si>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</si>
  <si>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</si>
  <si>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</si>
  <si>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</si>
  <si>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</si>
  <si>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</si>
  <si>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</si>
  <si>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</si>
  <si>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</si>
  <si>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</si>
  <si>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</si>
  <si>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</si>
  <si>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</si>
  <si>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</si>
  <si>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</si>
  <si>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</si>
  <si>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</si>
  <si>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</si>
  <si>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</si>
  <si>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</si>
  <si>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</si>
  <si>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</si>
  <si>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</si>
  <si>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</si>
  <si>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</si>
  <si>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</si>
  <si>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</si>
  <si>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</si>
  <si>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</si>
  <si>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</si>
  <si>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</si>
  <si>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</si>
  <si>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</si>
  <si>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</si>
  <si>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</si>
  <si>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</si>
  <si>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</si>
  <si>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</si>
  <si>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</si>
  <si>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</si>
  <si>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</si>
  <si>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</si>
  <si>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</si>
  <si>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</si>
  <si>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</si>
  <si>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</si>
  <si>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</si>
  <si>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</si>
  <si>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</si>
  <si>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</si>
  <si>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</si>
  <si>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</si>
  <si>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</si>
  <si>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</si>
  <si>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</si>
  <si>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</si>
  <si>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</si>
  <si>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</si>
  <si>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</si>
  <si>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</si>
  <si>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</si>
  <si>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</si>
  <si>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</si>
  <si>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</si>
  <si>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</si>
  <si>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</si>
  <si>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</si>
  <si>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</si>
  <si>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</si>
  <si>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</si>
  <si>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</si>
  <si>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</si>
  <si>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</si>
  <si>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</si>
  <si>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</si>
  <si>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</si>
  <si>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</si>
  <si>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</si>
  <si>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</si>
  <si>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</si>
  <si>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</si>
  <si>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</si>
  <si>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</si>
  <si>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</si>
  <si>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</si>
  <si>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</si>
  <si>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</si>
  <si>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</si>
  <si>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</si>
  <si>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</si>
  <si>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</si>
  <si>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</si>
  <si>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</si>
  <si>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</si>
  <si>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</si>
  <si>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</si>
  <si>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</si>
  <si>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</si>
  <si>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</si>
  <si>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</si>
  <si>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</si>
  <si>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</si>
  <si>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</si>
  <si>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</si>
  <si>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</si>
  <si>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</si>
  <si>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</si>
  <si>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</si>
  <si>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</si>
  <si>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</si>
  <si>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</si>
  <si>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</si>
  <si>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</si>
  <si>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</si>
  <si>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</si>
  <si>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</si>
  <si>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</si>
  <si>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</si>
  <si>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</si>
  <si>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</si>
  <si>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</si>
  <si>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</si>
  <si>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</si>
  <si>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</si>
  <si>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</si>
  <si>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</si>
  <si>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</si>
  <si>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</si>
  <si>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</si>
  <si>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</si>
  <si>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</si>
  <si>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</si>
  <si>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</si>
  <si>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</si>
  <si>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</si>
  <si>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</si>
  <si>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</si>
  <si>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</si>
  <si>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</si>
  <si>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</si>
  <si>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</si>
  <si>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</si>
  <si>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</si>
  <si>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</si>
  <si>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</si>
  <si>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</si>
  <si>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</si>
  <si>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</si>
  <si>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</si>
  <si>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</si>
  <si>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</si>
  <si>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</si>
  <si>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</si>
  <si>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</si>
  <si>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</si>
  <si>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</si>
  <si>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</si>
  <si>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</si>
  <si>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</si>
  <si>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</si>
  <si>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</si>
  <si>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</si>
  <si>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</si>
  <si>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</si>
  <si>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</si>
  <si>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</si>
  <si>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</si>
  <si>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</si>
  <si>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</si>
  <si>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</si>
  <si>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</si>
  <si>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</si>
  <si>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</si>
  <si>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</si>
  <si>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</si>
  <si>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</si>
  <si>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</si>
  <si>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</si>
  <si>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</si>
  <si>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</si>
  <si>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</si>
  <si>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</si>
  <si>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</si>
  <si>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</si>
  <si>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</si>
  <si>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</si>
  <si>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</si>
  <si>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</si>
  <si>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</si>
  <si>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</si>
  <si>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</si>
  <si>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</si>
  <si>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</si>
  <si>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</si>
  <si>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</si>
  <si>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</si>
  <si>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</si>
  <si>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</si>
  <si>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</si>
  <si>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</si>
  <si>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</si>
  <si>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</si>
  <si>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</si>
  <si>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</si>
  <si>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</si>
  <si>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</si>
  <si>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</si>
  <si>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</si>
  <si>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</si>
  <si>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</si>
  <si>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</si>
  <si>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</si>
  <si>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</si>
  <si>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</si>
  <si>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</si>
  <si>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</si>
  <si>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</si>
  <si>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</si>
  <si>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</si>
  <si>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</si>
  <si>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</si>
  <si>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</si>
  <si>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</si>
  <si>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</si>
  <si>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</si>
  <si>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</si>
  <si>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</si>
  <si>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</si>
  <si>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</si>
  <si>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</si>
  <si>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</si>
  <si>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</si>
  <si>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</si>
  <si>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</si>
  <si>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</si>
  <si>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</si>
  <si>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</si>
  <si>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</si>
  <si>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</si>
  <si>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</si>
  <si>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</si>
  <si>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</si>
  <si>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</si>
  <si>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</si>
  <si>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</si>
  <si>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</si>
  <si>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</si>
  <si>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</si>
  <si>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</si>
  <si>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</si>
  <si>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</si>
  <si>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</si>
  <si>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</si>
  <si>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</si>
  <si>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</si>
  <si>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</si>
  <si>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</si>
  <si>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</si>
  <si>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</si>
  <si>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</si>
  <si>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</si>
  <si>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</si>
  <si>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</si>
  <si>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</si>
  <si>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</si>
  <si>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</si>
  <si>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</si>
  <si>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</si>
  <si>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</si>
  <si>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</si>
  <si>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</si>
  <si>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</si>
  <si>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</si>
  <si>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</si>
  <si>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</si>
  <si>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</si>
  <si>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</si>
  <si>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</si>
  <si>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</si>
  <si>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</si>
  <si>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</si>
  <si>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</si>
  <si>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</si>
  <si>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</si>
  <si>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</si>
  <si>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</si>
  <si>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</si>
  <si>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</si>
  <si>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</si>
  <si>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</si>
  <si>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</si>
  <si>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</si>
  <si>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</si>
  <si>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</si>
  <si>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</si>
  <si>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</si>
  <si>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</si>
  <si>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</si>
  <si>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</si>
  <si>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</si>
  <si>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</si>
  <si>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</si>
  <si>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</si>
  <si>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</si>
  <si>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</si>
  <si>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</si>
  <si>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</si>
  <si>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</si>
  <si>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</si>
  <si>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</si>
  <si>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</si>
  <si>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</si>
  <si>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</si>
  <si>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</si>
  <si>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</si>
  <si>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</si>
  <si>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</si>
  <si>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</si>
  <si>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</si>
  <si>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</si>
  <si>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</si>
  <si>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</si>
  <si>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</si>
  <si>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</si>
  <si>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</si>
  <si>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</si>
  <si>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</si>
  <si>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</si>
  <si>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</si>
  <si>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</si>
  <si>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</si>
  <si>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</si>
  <si>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</si>
  <si>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</si>
  <si>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</si>
  <si>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</si>
  <si>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</si>
  <si>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</si>
  <si>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</si>
  <si>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</si>
  <si>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</si>
  <si>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</si>
  <si>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</si>
  <si>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</si>
  <si>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</si>
  <si>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</si>
  <si>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</si>
  <si>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</si>
  <si>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</si>
  <si>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</si>
  <si>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</si>
  <si>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</si>
  <si>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</si>
  <si>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</si>
  <si>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</si>
  <si>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</si>
  <si>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</si>
  <si>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</si>
  <si>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</si>
  <si>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</si>
  <si>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</si>
  <si>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</si>
  <si>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</si>
  <si>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</si>
  <si>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</si>
  <si>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</si>
  <si>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</si>
  <si>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</si>
  <si>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</si>
  <si>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</si>
  <si>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</si>
  <si>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</si>
  <si>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</si>
  <si>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</si>
  <si>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</si>
  <si>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</si>
  <si>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</si>
  <si>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</si>
  <si>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</si>
  <si>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</si>
  <si>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</si>
  <si>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</si>
  <si>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</si>
  <si>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</si>
  <si>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</si>
  <si>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</si>
  <si>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</si>
  <si>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</si>
  <si>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</si>
  <si>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</si>
  <si>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</si>
  <si>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</si>
  <si>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</si>
  <si>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</si>
  <si>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</si>
  <si>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</si>
  <si>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</si>
  <si>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</si>
  <si>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</si>
  <si>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</si>
  <si>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</si>
  <si>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</si>
  <si>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</si>
  <si>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</si>
  <si>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</si>
  <si>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</si>
  <si>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</si>
  <si>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</si>
  <si>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</si>
  <si>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</si>
  <si>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</si>
  <si>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</si>
  <si>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</si>
  <si>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</si>
  <si>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</si>
  <si>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</si>
  <si>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</si>
  <si>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</si>
  <si>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</si>
  <si>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</si>
  <si>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</si>
  <si>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</si>
  <si>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</si>
  <si>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</si>
  <si>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</si>
  <si>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</si>
  <si>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</si>
  <si>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</si>
  <si>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</si>
  <si>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</si>
  <si>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</si>
  <si>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</si>
  <si>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</si>
  <si>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</si>
  <si>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</si>
  <si>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</si>
  <si>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</si>
  <si>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</si>
  <si>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</si>
  <si>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</si>
  <si>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</si>
  <si>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</si>
  <si>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</si>
  <si>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</si>
  <si>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</si>
  <si>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</si>
  <si>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</si>
  <si>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</si>
  <si>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</si>
  <si>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</si>
  <si>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</si>
  <si>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</si>
  <si>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</si>
  <si>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</si>
  <si>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</si>
  <si>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</si>
  <si>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</si>
  <si>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</si>
  <si>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</si>
  <si>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</si>
  <si>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</si>
  <si>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</si>
  <si>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</si>
  <si>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</si>
  <si>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</si>
  <si>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</si>
  <si>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</si>
  <si>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</si>
  <si>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</si>
  <si>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</si>
  <si>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</si>
  <si>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</si>
  <si>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</si>
  <si>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</si>
  <si>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</si>
  <si>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</si>
  <si>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</si>
  <si>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</si>
  <si>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</si>
  <si>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</si>
  <si>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</si>
  <si>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</si>
  <si>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</si>
  <si>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</si>
  <si>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</si>
  <si>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</si>
  <si>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</si>
  <si>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</si>
  <si>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</si>
  <si>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</si>
  <si>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</si>
  <si>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</si>
  <si>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</si>
  <si>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</si>
  <si>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</si>
  <si>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</si>
  <si>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</si>
  <si>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</si>
  <si>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</si>
  <si>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</si>
  <si>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</si>
  <si>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</si>
  <si>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</si>
  <si>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</si>
  <si>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</si>
  <si>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</si>
  <si>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</si>
  <si>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</si>
  <si>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</si>
  <si>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</si>
  <si>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</si>
  <si>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</si>
  <si>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</si>
  <si>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</si>
  <si>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</si>
  <si>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</si>
  <si>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</si>
  <si>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</si>
  <si>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</si>
  <si>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</si>
  <si>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</si>
  <si>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</si>
  <si>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</si>
  <si>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</si>
  <si>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</si>
  <si>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</si>
  <si>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</si>
  <si>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</si>
  <si>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</si>
  <si>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</si>
  <si>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</si>
  <si>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</si>
  <si>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</si>
  <si>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</si>
  <si>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</si>
  <si>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</si>
  <si>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</si>
  <si>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</si>
  <si>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</si>
  <si>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</si>
  <si>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</si>
  <si>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</si>
  <si>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</si>
  <si>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</si>
  <si>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</si>
  <si>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</si>
  <si>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</si>
  <si>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</si>
  <si>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</si>
  <si>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</si>
  <si>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</si>
  <si>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</si>
  <si>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</si>
  <si>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</si>
  <si>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</si>
  <si>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</si>
  <si>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</si>
  <si>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</si>
  <si>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</si>
  <si>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</si>
  <si>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</si>
  <si>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</si>
  <si>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</si>
  <si>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</si>
  <si>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</si>
  <si>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</si>
  <si>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</si>
  <si>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</si>
  <si>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</si>
  <si>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</si>
  <si>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</si>
  <si>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</si>
  <si>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</si>
  <si>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</si>
  <si>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</si>
  <si>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</si>
  <si>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</si>
  <si>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</si>
  <si>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</si>
  <si>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</si>
  <si>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</si>
  <si>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</si>
  <si>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</si>
  <si>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</si>
  <si>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</si>
  <si>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</si>
  <si>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</si>
  <si>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</si>
  <si>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</si>
  <si>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</si>
  <si>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</si>
  <si>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</si>
  <si>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</si>
  <si>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</si>
  <si>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</si>
  <si>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</si>
  <si>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</si>
  <si>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</si>
  <si>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</si>
  <si>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</si>
  <si>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</si>
  <si>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</si>
  <si>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</si>
  <si>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</si>
  <si>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</si>
  <si>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</si>
  <si>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</si>
  <si>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</si>
  <si>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</si>
  <si>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</si>
  <si>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</si>
  <si>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</si>
  <si>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</si>
  <si>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</si>
  <si>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</si>
  <si>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</si>
  <si>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</si>
  <si>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</si>
  <si>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</si>
  <si>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</si>
  <si>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</si>
  <si>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</si>
  <si>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</si>
  <si>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</si>
  <si>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</si>
  <si>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</si>
  <si>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</si>
  <si>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</si>
  <si>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</si>
  <si>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</si>
  <si>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</si>
  <si>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</si>
  <si>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</si>
  <si>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</si>
  <si>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</si>
  <si>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</si>
  <si>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</si>
  <si>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</si>
  <si>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</si>
  <si>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</si>
  <si>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</si>
  <si>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</si>
  <si>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</si>
  <si>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</si>
  <si>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</si>
  <si>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</si>
  <si>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</si>
  <si>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</si>
  <si>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</si>
  <si>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</si>
  <si>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</si>
  <si>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</si>
  <si>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</si>
  <si>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</si>
  <si>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</si>
  <si>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</si>
  <si>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</si>
  <si>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</si>
  <si>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</si>
  <si>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</si>
  <si>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</si>
  <si>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</si>
  <si>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</si>
  <si>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</si>
  <si>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</si>
  <si>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</si>
  <si>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</si>
  <si>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</si>
  <si>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</si>
  <si>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</si>
  <si>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</si>
  <si>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</si>
  <si>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</si>
  <si>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</si>
  <si>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</si>
  <si>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</si>
  <si>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</si>
  <si>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</si>
  <si>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</si>
  <si>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</si>
  <si>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</si>
  <si>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</si>
  <si>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</si>
  <si>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</si>
  <si>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</si>
  <si>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</si>
  <si>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</si>
  <si>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</si>
  <si>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</si>
  <si>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</si>
  <si>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</si>
  <si>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</si>
  <si>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</si>
  <si>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</si>
  <si>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</si>
  <si>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</si>
  <si>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</si>
  <si>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</si>
  <si>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</si>
  <si>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</si>
  <si>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</si>
  <si>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</si>
  <si>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</si>
  <si>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</si>
  <si>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</si>
  <si>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</si>
  <si>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</si>
  <si>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</si>
  <si>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</si>
  <si>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</si>
  <si>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</si>
  <si>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</si>
  <si>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</si>
  <si>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</si>
  <si>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</si>
  <si>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</si>
  <si>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</si>
  <si>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</si>
  <si>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</si>
  <si>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</si>
  <si>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</si>
  <si>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</si>
  <si>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</si>
  <si>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</si>
  <si>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</si>
  <si>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</si>
  <si>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</si>
  <si>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</si>
  <si>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</si>
  <si>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</si>
  <si>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</si>
  <si>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</si>
  <si>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</si>
  <si>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</si>
  <si>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</si>
  <si>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</si>
  <si>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</si>
  <si>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</si>
  <si>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</si>
  <si>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</si>
  <si>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</si>
  <si>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</si>
  <si>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</si>
  <si>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</si>
  <si>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</si>
  <si>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</si>
  <si>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</si>
  <si>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</si>
  <si>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</si>
  <si>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</si>
  <si>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</si>
  <si>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</si>
  <si>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</si>
  <si>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</si>
  <si>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</si>
  <si>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</si>
  <si>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</si>
  <si>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</si>
  <si>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</si>
  <si>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</si>
  <si>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</si>
  <si>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</si>
  <si>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</si>
  <si>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</si>
  <si>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</si>
  <si>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</si>
  <si>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</si>
  <si>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</si>
  <si>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</si>
  <si>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</si>
  <si>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</si>
  <si>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</si>
  <si>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</si>
  <si>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</si>
  <si>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</si>
  <si>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</si>
  <si>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</si>
  <si>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</si>
  <si>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</si>
  <si>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</si>
  <si>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</si>
  <si>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</si>
  <si>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</si>
  <si>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</si>
  <si>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</si>
  <si>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</si>
  <si>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</si>
  <si>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</si>
  <si>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</si>
  <si>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</si>
  <si>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</si>
  <si>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</si>
  <si>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</si>
  <si>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</si>
  <si>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</si>
  <si>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</si>
  <si>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</si>
  <si>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</si>
  <si>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</si>
  <si>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</si>
  <si>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</si>
  <si>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</si>
  <si>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</si>
  <si>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</si>
  <si>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</si>
  <si>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</si>
  <si>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</si>
  <si>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</si>
  <si>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</si>
  <si>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</si>
  <si>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</si>
  <si>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</si>
  <si>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</si>
  <si>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</si>
  <si>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</si>
  <si>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</si>
  <si>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</si>
  <si>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</si>
  <si>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</si>
  <si>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</si>
  <si>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</si>
  <si>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</si>
  <si>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</si>
  <si>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</si>
  <si>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</si>
  <si>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</si>
  <si>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</si>
  <si>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</si>
  <si>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</si>
  <si>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</si>
  <si>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</si>
  <si>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</si>
  <si>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</si>
  <si>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</si>
  <si>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</si>
  <si>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</si>
  <si>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</si>
  <si>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</si>
  <si>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</si>
  <si>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</si>
  <si>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</si>
  <si>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</si>
  <si>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</si>
  <si>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</si>
  <si>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</si>
  <si>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</si>
  <si>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</si>
  <si>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</si>
  <si>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</si>
  <si>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</si>
  <si>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</si>
  <si>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</si>
  <si>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</si>
  <si>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</si>
  <si>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</si>
  <si>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</si>
  <si>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</si>
  <si>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</si>
  <si>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</si>
  <si>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</si>
  <si>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</si>
  <si>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</si>
  <si>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</si>
  <si>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</si>
  <si>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</si>
  <si>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</si>
  <si>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</si>
  <si>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</si>
  <si>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</si>
  <si>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</si>
  <si>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</si>
  <si>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</si>
  <si>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</si>
  <si>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</si>
  <si>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</si>
  <si>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</si>
  <si>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</si>
  <si>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</si>
  <si>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</si>
  <si>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</si>
  <si>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</si>
  <si>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</si>
  <si>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</si>
  <si>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</si>
  <si>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</si>
  <si>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</si>
  <si>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</si>
  <si>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</si>
  <si>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</si>
  <si>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</si>
  <si>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</si>
  <si>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</si>
  <si>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</si>
  <si>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</si>
  <si>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</si>
  <si>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</si>
  <si>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</si>
  <si>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</si>
  <si>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</si>
  <si>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</si>
  <si>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</si>
  <si>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</si>
  <si>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</si>
  <si>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</si>
  <si>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</si>
  <si>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</si>
  <si>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</si>
  <si>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</si>
  <si>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</si>
  <si>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</si>
  <si>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</si>
  <si>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</si>
  <si>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</si>
  <si>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</si>
  <si>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</si>
  <si>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</si>
  <si>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</si>
  <si>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</si>
  <si>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</si>
  <si>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</si>
  <si>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</si>
  <si>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</si>
  <si>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</si>
  <si>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</si>
  <si>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</si>
  <si>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</si>
  <si>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</si>
  <si>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</si>
  <si>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</si>
  <si>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</si>
  <si>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</si>
  <si>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</si>
  <si>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</si>
  <si>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</si>
  <si>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</si>
  <si>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</si>
  <si>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</si>
  <si>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</si>
  <si>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</si>
  <si>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</si>
  <si>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</si>
  <si>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</si>
  <si>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</si>
  <si>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</si>
  <si>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</si>
  <si>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</si>
  <si>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</si>
  <si>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</si>
  <si>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</si>
  <si>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</si>
  <si>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</si>
  <si>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</si>
  <si>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</si>
  <si>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</si>
  <si>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</si>
  <si>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</si>
  <si>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</si>
  <si>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</si>
  <si>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</si>
  <si>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</si>
  <si>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</si>
  <si>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</si>
  <si>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</si>
  <si>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</si>
  <si>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</si>
  <si>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</si>
  <si>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</si>
  <si>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</si>
  <si>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</si>
  <si>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</si>
  <si>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</si>
  <si>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</si>
  <si>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</si>
  <si>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</si>
  <si>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</si>
  <si>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</si>
  <si>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</si>
  <si>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</si>
  <si>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</si>
  <si>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</si>
  <si>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</si>
  <si>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</si>
  <si>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</si>
  <si>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</si>
  <si>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</si>
  <si>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</si>
  <si>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</si>
  <si>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</si>
  <si>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</si>
  <si>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</si>
  <si>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</si>
  <si>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</si>
  <si>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</si>
  <si>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</si>
  <si>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</si>
  <si>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</si>
  <si>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</si>
  <si>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</si>
  <si>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</si>
  <si>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</si>
  <si>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</si>
  <si>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</si>
  <si>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</si>
  <si>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</si>
  <si>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</si>
  <si>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</si>
  <si>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</si>
  <si>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</si>
  <si>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</si>
  <si>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</si>
  <si>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</si>
  <si>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</si>
  <si>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</si>
  <si>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</si>
  <si>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</si>
  <si>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</si>
  <si>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</si>
  <si>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</si>
  <si>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</si>
  <si>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</si>
  <si>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</si>
  <si>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</si>
  <si>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</si>
  <si>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</si>
  <si>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</si>
  <si>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</si>
  <si>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</si>
  <si>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</si>
  <si>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</si>
  <si>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</si>
  <si>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</si>
  <si>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</si>
  <si>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</si>
  <si>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</si>
  <si>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</si>
  <si>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</si>
  <si>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</si>
  <si>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</si>
  <si>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</si>
  <si>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</si>
  <si>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</si>
  <si>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</si>
  <si>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</si>
  <si>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</si>
  <si>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</si>
  <si>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</si>
  <si>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</si>
  <si>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</si>
  <si>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</si>
  <si>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</si>
  <si>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</si>
  <si>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</si>
  <si>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</si>
  <si>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</si>
  <si>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</si>
  <si>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</si>
  <si>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</si>
  <si>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</si>
  <si>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</si>
  <si>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</si>
  <si>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</si>
  <si>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</si>
  <si>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</si>
  <si>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</si>
  <si>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</si>
  <si>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</si>
  <si>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</si>
  <si>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</si>
  <si>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</si>
  <si>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</si>
  <si>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</si>
  <si>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</si>
  <si>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</si>
  <si>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</si>
  <si>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</si>
  <si>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</si>
  <si>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</si>
  <si>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</si>
  <si>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</si>
  <si>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</si>
  <si>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</si>
  <si>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</si>
  <si>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</si>
  <si>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</si>
  <si>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</si>
  <si>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</si>
  <si>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</si>
  <si>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</si>
  <si>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</si>
  <si>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</si>
  <si>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</si>
  <si>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</si>
  <si>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</si>
  <si>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</si>
  <si>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</si>
  <si>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</si>
  <si>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</si>
  <si>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</si>
  <si>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</si>
  <si>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</si>
  <si>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</si>
  <si>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</si>
  <si>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</si>
  <si>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</si>
  <si>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</si>
  <si>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</si>
  <si>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</si>
  <si>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</si>
  <si>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</si>
  <si>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</si>
  <si>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</si>
  <si>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</si>
  <si>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</si>
  <si>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</si>
  <si>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</si>
  <si>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</si>
  <si>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</si>
  <si>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</si>
  <si>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</si>
  <si>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</si>
  <si>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</si>
  <si>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</si>
  <si>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</si>
  <si>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</si>
  <si>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</si>
  <si>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</si>
  <si>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</si>
  <si>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</si>
  <si>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</si>
  <si>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</si>
  <si>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</si>
  <si>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</si>
  <si>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</si>
  <si>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</si>
  <si>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</si>
  <si>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</si>
  <si>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</si>
  <si>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</si>
  <si>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</si>
  <si>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</si>
  <si>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</si>
  <si>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</si>
  <si>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</si>
  <si>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</si>
  <si>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</si>
  <si>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</si>
  <si>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</si>
  <si>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</si>
  <si>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</si>
  <si>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</si>
  <si>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</si>
  <si>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</si>
  <si>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</si>
  <si>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</si>
  <si>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</si>
  <si>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</si>
  <si>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</si>
  <si>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</si>
  <si>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</si>
  <si>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</si>
  <si>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</si>
  <si>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</si>
  <si>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</si>
  <si>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</si>
  <si>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</si>
  <si>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</si>
  <si>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</si>
  <si>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</si>
  <si>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</si>
  <si>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</si>
  <si>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</si>
  <si>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</si>
  <si>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</si>
  <si>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</si>
  <si>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</si>
  <si>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</si>
  <si>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</si>
  <si>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</si>
  <si>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</si>
  <si>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</si>
  <si>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</si>
  <si>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</si>
  <si>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</si>
  <si>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</si>
  <si>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</si>
  <si>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</si>
  <si>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</si>
  <si>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</si>
  <si>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</si>
  <si>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</si>
  <si>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</si>
  <si>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</si>
  <si>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</si>
  <si>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</si>
  <si>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</si>
  <si>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</si>
  <si>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</si>
  <si>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</si>
  <si>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</si>
  <si>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</si>
  <si>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</si>
  <si>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</si>
  <si>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</si>
  <si>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</si>
  <si>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</si>
  <si>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</si>
  <si>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</si>
  <si>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</si>
  <si>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</si>
  <si>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</si>
  <si>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</si>
  <si>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</si>
  <si>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</si>
  <si>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</si>
  <si>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</si>
  <si>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</si>
  <si>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</si>
  <si>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</si>
  <si>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</si>
  <si>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</si>
  <si>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</si>
  <si>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</si>
  <si>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</si>
  <si>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</si>
  <si>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</si>
  <si>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</si>
  <si>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</si>
  <si>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</si>
  <si>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</si>
  <si>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</si>
  <si>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</si>
  <si>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</si>
  <si>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</si>
  <si>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</si>
  <si>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</si>
  <si>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</si>
  <si>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</si>
  <si>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</si>
  <si>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</si>
  <si>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</si>
  <si>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</si>
  <si>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</si>
  <si>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</si>
  <si>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</si>
  <si>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</si>
  <si>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</si>
  <si>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</si>
  <si>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</si>
  <si>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</si>
  <si>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</si>
  <si>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</si>
  <si>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</si>
  <si>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</si>
  <si>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</si>
  <si>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</si>
  <si>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</si>
  <si>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</si>
  <si>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</si>
  <si>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</si>
  <si>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</si>
  <si>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</si>
  <si>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</si>
  <si>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</si>
  <si>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</si>
  <si>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</si>
  <si>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</si>
  <si>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</si>
  <si>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</si>
  <si>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</si>
  <si>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</si>
  <si>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</si>
  <si>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</si>
  <si>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</si>
  <si>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</si>
  <si>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</si>
  <si>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</si>
  <si>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</si>
  <si>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</si>
  <si>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</si>
  <si>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</si>
  <si>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</si>
  <si>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</si>
  <si>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</si>
  <si>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</si>
  <si>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</si>
  <si>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</si>
  <si>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</si>
  <si>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</si>
  <si>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</si>
  <si>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</si>
  <si>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</si>
  <si>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</si>
  <si>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</si>
  <si>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</si>
  <si>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</si>
  <si>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</si>
  <si>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</si>
  <si>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</si>
  <si>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</si>
  <si>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</si>
  <si>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</si>
  <si>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</si>
  <si>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</si>
  <si>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</si>
  <si>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</si>
  <si>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</si>
  <si>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</si>
  <si>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</si>
  <si>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</si>
  <si>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</si>
  <si>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</si>
  <si>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</si>
  <si>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</si>
  <si>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</si>
  <si>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</si>
  <si>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</si>
  <si>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</si>
  <si>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</si>
  <si>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</si>
  <si>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</si>
  <si>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</si>
  <si>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</si>
  <si>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</si>
  <si>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</si>
  <si>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</si>
  <si>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</si>
  <si>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</si>
  <si>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</si>
  <si>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</si>
  <si>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</si>
  <si>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</si>
  <si>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</si>
  <si>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</si>
  <si>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</si>
  <si>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</si>
  <si>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</si>
  <si>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</si>
  <si>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</si>
  <si>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</si>
  <si>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</si>
  <si>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</si>
  <si>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</si>
  <si>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</si>
  <si>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</si>
  <si>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</si>
  <si>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</si>
  <si>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</si>
  <si>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</si>
  <si>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</si>
  <si>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</si>
  <si>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</si>
  <si>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</si>
  <si>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</si>
  <si>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</si>
  <si>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</si>
  <si>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</si>
  <si>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</si>
  <si>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</si>
  <si>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</si>
  <si>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</si>
  <si>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</si>
  <si>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</si>
  <si>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</si>
  <si>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</si>
  <si>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</si>
  <si>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</si>
  <si>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</si>
  <si>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</si>
  <si>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</si>
  <si>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</si>
  <si>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</si>
  <si>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</si>
  <si>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</si>
  <si>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</si>
  <si>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</si>
  <si>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</si>
  <si>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</si>
  <si>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</si>
  <si>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</si>
  <si>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</si>
  <si>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</si>
  <si>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</si>
  <si>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</si>
  <si>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</si>
  <si>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</si>
  <si>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</si>
  <si>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</si>
  <si>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</si>
  <si>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</si>
  <si>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</si>
  <si>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</si>
  <si>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</si>
  <si>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</si>
  <si>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</si>
  <si>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</si>
  <si>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</si>
  <si>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</si>
  <si>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</si>
  <si>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</si>
  <si>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</si>
  <si>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</si>
  <si>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</si>
  <si>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</si>
  <si>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</si>
  <si>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</si>
  <si>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</si>
  <si>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</si>
  <si>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</si>
  <si>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</si>
  <si>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</si>
  <si>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</si>
  <si>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</si>
  <si>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</si>
  <si>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</si>
  <si>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</si>
  <si>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</si>
  <si>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</si>
  <si>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</si>
  <si>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</si>
  <si>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</si>
  <si>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</si>
  <si>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</si>
  <si>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</si>
  <si>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</si>
  <si>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</si>
  <si>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</si>
  <si>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</si>
  <si>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</si>
  <si>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</si>
  <si>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</si>
  <si>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</si>
  <si>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</si>
  <si>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</si>
  <si>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</si>
  <si>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</si>
  <si>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</si>
  <si>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</si>
  <si>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</si>
  <si>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</si>
  <si>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</si>
  <si>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</si>
  <si>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</si>
  <si>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</si>
  <si>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</si>
  <si>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</si>
  <si>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</si>
  <si>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</si>
  <si>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</si>
  <si>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</si>
  <si>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</si>
  <si>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</si>
  <si>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</si>
  <si>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</si>
  <si>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</si>
  <si>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</si>
  <si>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</si>
  <si>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</si>
  <si>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</si>
  <si>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</si>
  <si>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</si>
  <si>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</si>
  <si>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</si>
  <si>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</si>
  <si>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</si>
  <si>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</si>
  <si>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</si>
  <si>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</si>
  <si>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</si>
  <si>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</si>
  <si>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</si>
  <si>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</si>
  <si>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</si>
  <si>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</si>
  <si>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</si>
  <si>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</si>
  <si>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</si>
  <si>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</si>
  <si>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</si>
  <si>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</si>
  <si>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</si>
  <si>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</si>
  <si>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</si>
  <si>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</si>
  <si>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</si>
  <si>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</si>
  <si>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</si>
  <si>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</si>
  <si>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</si>
  <si>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</si>
  <si>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</si>
  <si>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</si>
  <si>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</si>
  <si>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</si>
  <si>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</si>
  <si>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</si>
  <si>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</si>
  <si>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</si>
  <si>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</si>
  <si>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</si>
  <si>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</si>
  <si>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</si>
  <si>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</si>
  <si>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</si>
  <si>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</si>
  <si>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</si>
  <si>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</si>
  <si>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</si>
  <si>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</si>
  <si>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</si>
  <si>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</si>
  <si>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</si>
  <si>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</si>
  <si>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</si>
  <si>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</si>
  <si>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</si>
  <si>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</si>
  <si>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</si>
  <si>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</si>
  <si>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</si>
  <si>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</si>
  <si>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</si>
  <si>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</si>
  <si>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</si>
  <si>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</si>
  <si>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</si>
  <si>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</si>
  <si>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</si>
  <si>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</si>
  <si>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</si>
  <si>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</si>
  <si>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</si>
  <si>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</si>
  <si>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</si>
  <si>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</si>
  <si>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</si>
  <si>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</si>
  <si>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</si>
  <si>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</si>
  <si>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</si>
  <si>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</si>
  <si>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</si>
  <si>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</si>
  <si>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</si>
  <si>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</si>
  <si>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</si>
  <si>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</si>
  <si>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</si>
  <si>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</si>
  <si>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</si>
  <si>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</si>
  <si>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</si>
  <si>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</si>
  <si>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</si>
  <si>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</si>
  <si>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</si>
  <si>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</si>
  <si>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</si>
  <si>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</si>
  <si>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</si>
  <si>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</si>
  <si>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</si>
  <si>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</si>
  <si>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</si>
  <si>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</si>
  <si>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</si>
  <si>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</si>
  <si>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</si>
  <si>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</si>
  <si>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</si>
  <si>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</si>
  <si>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</si>
  <si>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</si>
  <si>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</si>
  <si>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</si>
  <si>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</si>
  <si>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</si>
  <si>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</si>
  <si>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</si>
  <si>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</si>
  <si>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</si>
  <si>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</si>
  <si>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</si>
  <si>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</si>
  <si>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</si>
  <si>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</si>
  <si>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</si>
  <si>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</si>
  <si>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</si>
  <si>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</si>
  <si>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</si>
  <si>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</si>
  <si>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</si>
  <si>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</si>
  <si>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</si>
  <si>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</si>
  <si>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</si>
  <si>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</si>
  <si>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</si>
  <si>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</si>
  <si>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</si>
  <si>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</si>
  <si>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</si>
  <si>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</si>
  <si>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</si>
  <si>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</si>
  <si>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</si>
  <si>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</si>
  <si>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</si>
  <si>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</si>
  <si>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</si>
  <si>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</si>
  <si>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</si>
  <si>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</si>
  <si>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</si>
  <si>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</si>
  <si>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</si>
  <si>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</si>
  <si>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</si>
  <si>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</si>
  <si>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</si>
  <si>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</si>
  <si>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</si>
  <si>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</si>
  <si>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</si>
  <si>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</si>
  <si>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</si>
  <si>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</si>
  <si>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</si>
  <si>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</si>
  <si>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</si>
  <si>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</si>
  <si>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</si>
  <si>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</si>
  <si>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</si>
  <si>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</si>
  <si>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</si>
  <si>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</si>
  <si>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</si>
  <si>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</si>
  <si>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</si>
  <si>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</si>
  <si>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</si>
  <si>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</si>
  <si>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</si>
  <si>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</si>
  <si>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</si>
  <si>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</si>
  <si>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</si>
  <si>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</si>
  <si>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</si>
  <si>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</si>
  <si>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</si>
  <si>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</si>
  <si>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</si>
  <si>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</si>
  <si>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</si>
  <si>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</si>
  <si>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</si>
  <si>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</si>
  <si>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</si>
  <si>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</si>
  <si>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</si>
  <si>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</si>
  <si>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</si>
  <si>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</si>
  <si>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</si>
  <si>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</si>
  <si>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</si>
  <si>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</si>
  <si>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</si>
  <si>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</si>
  <si>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</si>
  <si>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</si>
  <si>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</si>
  <si>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</si>
  <si>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</si>
  <si>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</si>
  <si>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</si>
  <si>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</si>
  <si>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</si>
  <si>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</si>
  <si>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</si>
  <si>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</si>
  <si>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</si>
  <si>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</si>
  <si>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</si>
  <si>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</si>
  <si>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</si>
  <si>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</si>
  <si>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</si>
  <si>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</si>
  <si>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</si>
  <si>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</si>
  <si>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</si>
  <si>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</si>
  <si>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</si>
  <si>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</si>
  <si>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</si>
  <si>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</si>
  <si>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</si>
  <si>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</si>
  <si>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</si>
  <si>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</si>
  <si>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</si>
  <si>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</si>
  <si>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</si>
  <si>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</si>
  <si>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</si>
  <si>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</si>
  <si>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</si>
  <si>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</si>
  <si>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</si>
  <si>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</si>
  <si>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</si>
  <si>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</si>
  <si>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</si>
  <si>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</si>
  <si>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</si>
  <si>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</si>
  <si>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</si>
  <si>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</si>
  <si>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</si>
  <si>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</si>
  <si>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</si>
  <si>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</si>
  <si>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</si>
  <si>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</si>
  <si>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</si>
  <si>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</si>
  <si>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</si>
  <si>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</si>
  <si>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</si>
  <si>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</si>
  <si>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</si>
  <si>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</si>
  <si>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</si>
  <si>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</si>
  <si>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</si>
  <si>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</si>
  <si>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</si>
  <si>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</si>
  <si>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</si>
  <si>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</si>
  <si>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</si>
  <si>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</si>
  <si>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</si>
  <si>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</si>
  <si>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</si>
  <si>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</si>
  <si>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</si>
  <si>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</si>
  <si>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</si>
  <si>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</si>
  <si>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</si>
  <si>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</si>
  <si>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</si>
  <si>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</si>
  <si>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</si>
  <si>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</si>
  <si>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</si>
  <si>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</si>
  <si>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</si>
  <si>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</si>
  <si>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</si>
  <si>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</si>
  <si>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</si>
  <si>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</si>
  <si>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</si>
  <si>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</si>
  <si>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</si>
  <si>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</si>
  <si>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</si>
  <si>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</si>
  <si>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</si>
  <si>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</si>
  <si>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</si>
  <si>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</si>
  <si>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</si>
  <si>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</si>
  <si>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</si>
  <si>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</si>
  <si>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</si>
  <si>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</si>
  <si>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</si>
  <si>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</si>
  <si>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</si>
  <si>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</si>
  <si>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</si>
  <si>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</si>
  <si>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</si>
  <si>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</si>
  <si>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</si>
  <si>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</si>
  <si>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</si>
  <si>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</si>
  <si>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</si>
  <si>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</si>
  <si>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</si>
  <si>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</si>
  <si>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</si>
  <si>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</si>
  <si>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</si>
  <si>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</si>
  <si>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</si>
  <si>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</si>
  <si>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</si>
  <si>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</si>
  <si>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</si>
  <si>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</si>
  <si>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</si>
  <si>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</si>
  <si>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</si>
  <si>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</si>
  <si>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</si>
  <si>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</si>
  <si>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</si>
  <si>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</si>
  <si>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</si>
  <si>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</si>
  <si>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</si>
  <si>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</si>
  <si>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</si>
  <si>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</si>
  <si>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</si>
  <si>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</si>
  <si>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</si>
  <si>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</si>
  <si>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</si>
  <si>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</si>
  <si>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</si>
  <si>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</si>
  <si>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</si>
  <si>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</si>
  <si>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</si>
  <si>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</si>
  <si>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</si>
  <si>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</si>
  <si>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</si>
  <si>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</si>
  <si>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</si>
  <si>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</si>
  <si>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</si>
  <si>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</si>
  <si>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</si>
  <si>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</si>
  <si>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</si>
  <si>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</si>
  <si>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</si>
  <si>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</si>
  <si>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</si>
  <si>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</si>
  <si>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</si>
  <si>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</si>
  <si>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</si>
  <si>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</si>
  <si>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</si>
  <si>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</si>
  <si>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</si>
  <si>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</si>
  <si>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</si>
  <si>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</si>
  <si>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</si>
  <si>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</si>
  <si>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</si>
  <si>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</si>
  <si>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</si>
  <si>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</si>
  <si>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</si>
  <si>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</si>
  <si>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</si>
  <si>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</si>
  <si>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</si>
  <si>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</si>
  <si>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</si>
  <si>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</si>
  <si>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</si>
  <si>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</si>
  <si>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</si>
  <si>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</si>
  <si>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</si>
  <si>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</si>
  <si>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</si>
  <si>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</si>
  <si>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</si>
  <si>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</si>
  <si>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</si>
  <si>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</si>
  <si>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</si>
  <si>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</si>
  <si>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</si>
  <si>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</si>
  <si>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</si>
  <si>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</si>
  <si>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</si>
  <si>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</si>
  <si>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</si>
  <si>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</si>
  <si>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</si>
  <si>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</si>
  <si>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</si>
  <si>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</si>
  <si>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</si>
  <si>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</si>
  <si>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</si>
  <si>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</si>
  <si>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</si>
  <si>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</si>
  <si>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</si>
  <si>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</si>
  <si>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</si>
  <si>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</si>
  <si>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</si>
  <si>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</si>
  <si>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</si>
  <si>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</si>
  <si>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</si>
  <si>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</si>
  <si>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</si>
  <si>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</si>
  <si>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</si>
  <si>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</si>
  <si>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</si>
  <si>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</si>
  <si>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</si>
  <si>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</si>
  <si>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</si>
  <si>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</si>
  <si>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</si>
  <si>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</si>
  <si>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</si>
  <si>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</si>
  <si>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</si>
  <si>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</si>
  <si>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</si>
  <si>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</si>
  <si>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</si>
  <si>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</si>
  <si>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</si>
  <si>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</si>
  <si>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</si>
  <si>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</si>
  <si>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</si>
  <si>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</si>
  <si>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</si>
  <si>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</si>
  <si>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</si>
  <si>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</si>
  <si>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</si>
  <si>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</si>
  <si>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</si>
  <si>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</si>
  <si>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</si>
  <si>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</si>
  <si>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</si>
  <si>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</si>
  <si>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</si>
  <si>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</si>
  <si>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</si>
  <si>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</si>
  <si>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</si>
  <si>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</si>
  <si>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</si>
  <si>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</si>
  <si>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</si>
  <si>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</si>
  <si>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</si>
  <si>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</si>
  <si>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</si>
  <si>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</si>
  <si>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</si>
  <si>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</si>
  <si>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</si>
  <si>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</si>
  <si>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</si>
  <si>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</si>
  <si>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</si>
  <si>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</si>
  <si>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</si>
  <si>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</si>
  <si>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</si>
  <si>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</si>
  <si>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</si>
  <si>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</si>
  <si>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</si>
  <si>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</si>
  <si>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</si>
  <si>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</si>
  <si>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</si>
  <si>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</si>
  <si>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</si>
  <si>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</si>
  <si>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</si>
  <si>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</si>
  <si>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</si>
  <si>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</si>
  <si>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</si>
  <si>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</si>
  <si>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</si>
  <si>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</si>
  <si>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</si>
  <si>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</si>
  <si>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</si>
  <si>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</si>
  <si>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</si>
  <si>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</si>
  <si>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</si>
  <si>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</si>
  <si>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</si>
  <si>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</si>
  <si>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</si>
  <si>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</si>
  <si>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</si>
  <si>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</si>
  <si>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</si>
  <si>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</si>
  <si>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</si>
  <si>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</si>
  <si>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</si>
  <si>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</si>
  <si>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</si>
  <si>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</si>
  <si>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</si>
  <si>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</si>
  <si>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</si>
  <si>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</si>
  <si>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</si>
  <si>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</si>
  <si>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</si>
  <si>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</si>
  <si>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</si>
  <si>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</si>
  <si>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</si>
  <si>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</si>
  <si>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</si>
  <si>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</si>
  <si>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</si>
  <si>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</si>
  <si>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</si>
  <si>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</si>
  <si>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</si>
  <si>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</si>
  <si>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</si>
  <si>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</si>
  <si>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</si>
  <si>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</si>
  <si>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</si>
  <si>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</si>
  <si>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</si>
  <si>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</si>
  <si>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</si>
  <si>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</si>
  <si>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</si>
  <si>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</si>
  <si>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</si>
  <si>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</si>
  <si>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</si>
  <si>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</si>
  <si>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</si>
  <si>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</si>
  <si>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</si>
  <si>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</si>
  <si>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</si>
  <si>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</si>
  <si>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</si>
  <si>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</si>
  <si>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</si>
  <si>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</si>
  <si>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</si>
  <si>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</si>
  <si>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</si>
  <si>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</si>
  <si>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</si>
  <si>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</si>
  <si>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</si>
  <si>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</si>
  <si>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</si>
  <si>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</si>
  <si>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</si>
  <si>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</si>
  <si>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</si>
  <si>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</si>
  <si>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</si>
  <si>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</si>
  <si>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</si>
  <si>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</si>
  <si>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</si>
  <si>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</si>
  <si>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</si>
  <si>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</si>
  <si>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</si>
  <si>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</si>
  <si>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</si>
  <si>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</si>
  <si>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</si>
  <si>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</si>
  <si>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</si>
  <si>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</si>
  <si>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</si>
  <si>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</si>
  <si>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</si>
  <si>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</si>
  <si>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</si>
  <si>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</si>
  <si>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</si>
  <si>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</si>
  <si>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</si>
  <si>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</si>
  <si>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</si>
  <si>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</si>
  <si>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</si>
  <si>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</si>
  <si>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</si>
  <si>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</si>
  <si>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</si>
  <si>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</si>
  <si>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</si>
  <si>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</si>
  <si>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</si>
  <si>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</si>
  <si>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</si>
  <si>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</si>
  <si>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</si>
  <si>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</si>
  <si>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</si>
  <si>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</si>
  <si>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</si>
  <si>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</si>
  <si>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</si>
  <si>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</si>
  <si>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</si>
  <si>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</si>
  <si>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</si>
  <si>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</si>
  <si>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</si>
  <si>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</si>
  <si>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</si>
  <si>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</si>
  <si>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</si>
  <si>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</si>
  <si>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</si>
  <si>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</si>
  <si>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</si>
  <si>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</si>
  <si>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</si>
  <si>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</si>
  <si>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</si>
  <si>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</si>
  <si>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</si>
  <si>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</si>
  <si>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</si>
  <si>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</si>
  <si>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</si>
  <si>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</si>
  <si>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</si>
  <si>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</si>
  <si>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</si>
  <si>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</si>
  <si>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</si>
  <si>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</si>
  <si>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</si>
  <si>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</si>
  <si>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</si>
  <si>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</si>
  <si>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</si>
  <si>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</si>
  <si>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</si>
  <si>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</si>
  <si>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</si>
  <si>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</si>
  <si>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</si>
  <si>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</si>
  <si>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</si>
  <si>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</si>
  <si>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</si>
  <si>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</si>
  <si>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</si>
  <si>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</si>
  <si>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</si>
  <si>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</si>
  <si>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</si>
  <si>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</si>
  <si>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</si>
  <si>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</si>
  <si>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</si>
  <si>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</si>
  <si>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</si>
  <si>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</si>
  <si>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</si>
  <si>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</si>
  <si>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</si>
  <si>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</si>
  <si>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</si>
  <si>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</si>
  <si>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</si>
  <si>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</si>
  <si>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</si>
  <si>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</si>
  <si>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</si>
  <si>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</si>
  <si>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</si>
  <si>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</si>
  <si>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</si>
  <si>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</si>
  <si>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</si>
  <si>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</si>
  <si>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</si>
  <si>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대구광역시 달서구 장기로65번길 7</t>
    <phoneticPr fontId="2" type="noConversion"/>
  </si>
  <si>
    <t>010-3542-4069</t>
    <phoneticPr fontId="2" type="noConversion"/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</si>
  <si>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</si>
  <si>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</si>
  <si>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</si>
  <si>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</si>
  <si>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</si>
  <si>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</si>
  <si>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</si>
  <si>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</si>
  <si>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</si>
  <si>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2025-12-01</t>
  </si>
  <si>
    <t>하정오토(광주)_251201_174123.xlsx</t>
  </si>
  <si>
    <t>하나오토(창원)_251201_174419.xlsx</t>
  </si>
  <si>
    <t>대구오토(대구)_251201_174501.xlsx</t>
  </si>
  <si>
    <t>대구오토(대구)_251201_174501.xlsx</t>
    <phoneticPr fontId="2" type="noConversion"/>
  </si>
  <si>
    <t>김진욱</t>
  </si>
  <si>
    <t>창원마산회원내서중리128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</si>
</sst>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3</c:v>
                      </c:pt>
                      <c:pt idx="2">
                        <c:v>3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3</c:v>
                      </c:pt>
                      <c:pt idx="6">
                        <c:v>3</c:v>
                      </c:pt>
                      <c:pt idx="7">
                        <c:v>3</c:v>
                      </c:pt>
                      <c:pt idx="8">
                        <c:v>3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4464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45992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1281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4494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4495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25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1216</v>
      </c>
      <c r="B8" s="355"/>
      <c r="C8" s="355"/>
      <c r="D8" s="355"/>
      <c r="E8" s="356"/>
      <c r="F8" s="357" t="s">
        <v>2155</v>
      </c>
      <c r="G8" s="358"/>
      <c r="H8" s="358"/>
      <c r="I8" s="359"/>
      <c r="J8" s="365">
        <v>1200000</v>
      </c>
      <c r="K8" s="365"/>
      <c r="L8" s="365"/>
      <c r="M8" s="365"/>
      <c r="N8" s="365"/>
      <c r="O8" s="366">
        <v>1</v>
      </c>
      <c r="P8" s="366"/>
      <c r="Q8" s="360">
        <v>120000</v>
      </c>
      <c r="R8" s="361"/>
      <c r="S8" s="362"/>
      <c r="T8" s="363">
        <v>1320000</v>
      </c>
      <c r="U8" s="364"/>
    </row>
    <row r="9" spans="1:21" ht="15.6" customHeight="1" x14ac:dyDescent="0.3">
      <c r="A9" s="345" t="s">
        <v>1490</v>
      </c>
      <c r="B9" s="346"/>
      <c r="C9" s="346"/>
      <c r="D9" s="346"/>
      <c r="E9" s="347"/>
      <c r="F9" s="348" t="s">
        <v>2672</v>
      </c>
      <c r="G9" s="346"/>
      <c r="H9" s="346"/>
      <c r="I9" s="347"/>
      <c r="J9" s="367">
        <v>350000</v>
      </c>
      <c r="K9" s="367"/>
      <c r="L9" s="367"/>
      <c r="M9" s="367"/>
      <c r="N9" s="367"/>
      <c r="O9" s="368">
        <v>1</v>
      </c>
      <c r="P9" s="368"/>
      <c r="Q9" s="349">
        <v>35000</v>
      </c>
      <c r="R9" s="350"/>
      <c r="S9" s="351"/>
      <c r="T9" s="352">
        <v>385000</v>
      </c>
      <c r="U9" s="353"/>
    </row>
    <row r="10" spans="1:21" ht="15.6" customHeight="1" x14ac:dyDescent="0.3">
      <c r="A10" s="345" t="s">
        <v>1699</v>
      </c>
      <c r="B10" s="346"/>
      <c r="C10" s="346"/>
      <c r="D10" s="346"/>
      <c r="E10" s="347"/>
      <c r="F10" s="348" t="s">
        <v>1698</v>
      </c>
      <c r="G10" s="346"/>
      <c r="H10" s="346"/>
      <c r="I10" s="347"/>
      <c r="J10" s="367">
        <v>50000</v>
      </c>
      <c r="K10" s="367"/>
      <c r="L10" s="367"/>
      <c r="M10" s="367"/>
      <c r="N10" s="367"/>
      <c r="O10" s="368">
        <v>1</v>
      </c>
      <c r="P10" s="368"/>
      <c r="Q10" s="349">
        <v>5000</v>
      </c>
      <c r="R10" s="350"/>
      <c r="S10" s="351"/>
      <c r="T10" s="352">
        <v>55000</v>
      </c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16803000.199999999</v>
      </c>
      <c r="G20" s="404"/>
      <c r="H20" s="404"/>
      <c r="I20" s="405"/>
      <c r="J20" s="400">
        <f>SUM(J8:N19)</f>
        <v>1600000</v>
      </c>
      <c r="K20" s="401"/>
      <c r="L20" s="401"/>
      <c r="M20" s="401"/>
      <c r="N20" s="402"/>
      <c r="O20" s="438">
        <f>SUM(O8:P19)</f>
        <v>3</v>
      </c>
      <c r="P20" s="438"/>
      <c r="Q20" s="403">
        <f>SUM(Q8:S19)</f>
        <v>160000</v>
      </c>
      <c r="R20" s="404"/>
      <c r="S20" s="405"/>
      <c r="T20" s="404">
        <f>SUM(T8:U15)</f>
        <v>1760000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18563000.199999999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대구오토(대구)</v>
      </c>
      <c r="R21" s="398"/>
      <c r="S21" s="398"/>
      <c r="T21" s="398"/>
      <c r="U21" s="399"/>
    </row>
    <row r="22" spans="1:21" ht="20.100000000000001" customHeight="1" x14ac:dyDescent="0.3">
      <c r="A22" s="439" t="s">
        <v>4509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45992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대구오토(대구)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대구광역시 달서구 장기로65번길 7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010-3542-4069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대구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120000</v>
      </c>
      <c r="R31" s="417"/>
      <c r="S31" s="417"/>
      <c r="T31" s="418">
        <f>T8</f>
        <v>1320000</v>
      </c>
      <c r="U31" s="419"/>
    </row>
    <row r="32" spans="1:21" ht="15.6" customHeight="1" x14ac:dyDescent="0.3">
      <c r="A32" s="410" t="str">
        <f t="shared" ref="A32:A38" si="0">A9</f>
        <v>PARK_PAWL</v>
      </c>
      <c r="B32" s="411"/>
      <c r="C32" s="411"/>
      <c r="D32" s="411"/>
      <c r="E32" s="411"/>
      <c r="F32" s="411" t="str">
        <f t="shared" ref="F32:F38" si="1">F9</f>
        <v>A7259820003</v>
      </c>
      <c r="G32" s="411"/>
      <c r="H32" s="411"/>
      <c r="I32" s="411"/>
      <c r="J32" s="421">
        <f t="shared" ref="J32:J38" si="2">J9</f>
        <v>350000</v>
      </c>
      <c r="K32" s="421"/>
      <c r="L32" s="421"/>
      <c r="M32" s="421"/>
      <c r="N32" s="421"/>
      <c r="O32" s="421">
        <f t="shared" ref="O32:O38" si="3">O9</f>
        <v>1</v>
      </c>
      <c r="P32" s="421"/>
      <c r="Q32" s="412">
        <f t="shared" ref="Q32:Q38" si="4">Q9</f>
        <v>35000</v>
      </c>
      <c r="R32" s="412"/>
      <c r="S32" s="412"/>
      <c r="T32" s="413">
        <f t="shared" ref="T32:T38" si="5">T9</f>
        <v>385000</v>
      </c>
      <c r="U32" s="414"/>
    </row>
    <row r="33" spans="1:21" ht="15.6" customHeight="1" x14ac:dyDescent="0.3">
      <c r="A33" s="410" t="str">
        <f t="shared" si="0"/>
        <v>BMTSR_Oilpan_9G</v>
      </c>
      <c r="B33" s="411"/>
      <c r="C33" s="411"/>
      <c r="D33" s="411"/>
      <c r="E33" s="411"/>
      <c r="F33" s="411" t="str">
        <f t="shared" si="1"/>
        <v>B7252703707</v>
      </c>
      <c r="G33" s="411"/>
      <c r="H33" s="411"/>
      <c r="I33" s="411"/>
      <c r="J33" s="421">
        <f t="shared" si="2"/>
        <v>50000</v>
      </c>
      <c r="K33" s="421"/>
      <c r="L33" s="421"/>
      <c r="M33" s="421"/>
      <c r="N33" s="421"/>
      <c r="O33" s="421">
        <f t="shared" si="3"/>
        <v>1</v>
      </c>
      <c r="P33" s="421"/>
      <c r="Q33" s="412">
        <f t="shared" si="4"/>
        <v>5000</v>
      </c>
      <c r="R33" s="412"/>
      <c r="S33" s="412"/>
      <c r="T33" s="413">
        <f t="shared" si="5"/>
        <v>55000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16803000.199999999</v>
      </c>
      <c r="G43" s="404"/>
      <c r="H43" s="404"/>
      <c r="I43" s="405"/>
      <c r="J43" s="400">
        <f>J20</f>
        <v>1600000</v>
      </c>
      <c r="K43" s="401"/>
      <c r="L43" s="401"/>
      <c r="M43" s="401"/>
      <c r="N43" s="402"/>
      <c r="O43" s="438">
        <f>O20</f>
        <v>3</v>
      </c>
      <c r="P43" s="438"/>
      <c r="Q43" s="403">
        <f>Q20</f>
        <v>160000</v>
      </c>
      <c r="R43" s="404"/>
      <c r="S43" s="404"/>
      <c r="T43" s="404">
        <f>T20</f>
        <v>1760000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18563000.199999999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대구오토(대구)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4505</v>
      </c>
      <c r="C2" s="47" t="s">
        <v>1574</v>
      </c>
      <c r="D2" s="290" t="s">
        <v>1746</v>
      </c>
      <c r="E2" t="s">
        <v>1201</v>
      </c>
      <c r="F2" s="290" t="s">
        <v>1746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A3" s="47">
        <v>2</v>
      </c>
      <c r="B3" s="47" t="s">
        <v>4505</v>
      </c>
      <c r="C3" s="47" t="s">
        <v>1574</v>
      </c>
      <c r="D3" s="290" t="s">
        <v>2672</v>
      </c>
      <c r="E3" t="s">
        <v>1490</v>
      </c>
      <c r="F3" s="290" t="s">
        <v>2672</v>
      </c>
      <c r="G3">
        <v>350000</v>
      </c>
      <c r="H3">
        <v>1</v>
      </c>
      <c r="I3" s="226">
        <v>35000</v>
      </c>
      <c r="J3" s="226">
        <v>385000</v>
      </c>
    </row>
    <row r="4" spans="1:12" x14ac:dyDescent="0.3">
      <c r="A4" s="47">
        <v>3</v>
      </c>
      <c r="B4" s="47" t="s">
        <v>4505</v>
      </c>
      <c r="C4" s="47" t="s">
        <v>1574</v>
      </c>
      <c r="D4" s="290" t="s">
        <v>1698</v>
      </c>
      <c r="E4" t="s">
        <v>1699</v>
      </c>
      <c r="F4" s="290" t="s">
        <v>1698</v>
      </c>
      <c r="G4">
        <v>50000</v>
      </c>
      <c r="H4">
        <v>1</v>
      </c>
      <c r="I4" s="226">
        <v>5000</v>
      </c>
      <c r="J4" s="226">
        <v>55000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21"/>
  <sheetViews>
    <sheetView workbookViewId="0">
      <pane xSplit="1" ySplit="1" topLeftCell="B2390" activePane="bottomRight" state="frozen"/>
      <selection activeCell="N26" sqref="N26"/>
      <selection pane="topRight" activeCell="N26" sqref="N26"/>
      <selection pane="bottomLeft" activeCell="N26" sqref="N26"/>
      <selection pane="bottomRight" activeCell="C2416" sqref="C2416:L24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2422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4232</v>
      </c>
      <c r="D1791" s="295" t="s">
        <v>4093</v>
      </c>
      <c r="E1791" s="292" t="s">
        <v>4233</v>
      </c>
      <c r="F1791" s="269" t="s">
        <v>4234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4232</v>
      </c>
      <c r="D1792" s="295" t="s">
        <v>4093</v>
      </c>
      <c r="E1792" s="292" t="s">
        <v>4235</v>
      </c>
      <c r="F1792" s="269" t="s">
        <v>4236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4232</v>
      </c>
      <c r="D1793" s="295" t="s">
        <v>4093</v>
      </c>
      <c r="E1793" s="292" t="s">
        <v>4237</v>
      </c>
      <c r="F1793" s="269" t="s">
        <v>4238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4222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4221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4221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4221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4221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4221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4221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4221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4221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4221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4221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4196</v>
      </c>
      <c r="D2121" s="295" t="s">
        <v>4093</v>
      </c>
      <c r="E2121" s="292" t="s">
        <v>4197</v>
      </c>
      <c r="F2121" s="269" t="s">
        <v>4198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4200</v>
      </c>
      <c r="D2128" s="295" t="s">
        <v>4093</v>
      </c>
      <c r="E2128" s="292" t="s">
        <v>4201</v>
      </c>
      <c r="F2128" s="269" t="s">
        <v>4202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4265</v>
      </c>
      <c r="E2161" s="292" t="s">
        <v>4266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4195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4199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4319</v>
      </c>
      <c r="E2165" s="292" t="s">
        <v>4320</v>
      </c>
      <c r="F2165" s="269" t="s">
        <v>4321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4245</v>
      </c>
      <c r="D2167" s="295" t="s">
        <v>4246</v>
      </c>
      <c r="E2167" s="292" t="s">
        <v>4247</v>
      </c>
      <c r="F2167" s="269" t="s">
        <v>4248</v>
      </c>
      <c r="G2167" s="265">
        <v>50000</v>
      </c>
      <c r="H2167" s="269">
        <v>1</v>
      </c>
      <c r="M2167" s="292" t="s">
        <v>4209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4210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4210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4217</v>
      </c>
      <c r="E2170" s="292" t="s">
        <v>4218</v>
      </c>
      <c r="F2170" s="269" t="s">
        <v>4219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4225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4229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4239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4240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4249</v>
      </c>
      <c r="E2199" s="292" t="s">
        <v>4250</v>
      </c>
      <c r="F2199" s="269" t="s">
        <v>4251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4252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4254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4257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4261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4262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4267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4269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4195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4277</v>
      </c>
      <c r="E2218" s="292" t="s">
        <v>4278</v>
      </c>
      <c r="F2218" s="269" t="s">
        <v>4279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4276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4280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4281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4289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4291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4301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4383</v>
      </c>
      <c r="E2245" s="292" t="s">
        <v>4384</v>
      </c>
      <c r="F2245" s="269" t="s">
        <v>4385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4383</v>
      </c>
      <c r="E2246" s="292" t="s">
        <v>4386</v>
      </c>
      <c r="F2246" s="269" t="s">
        <v>4387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4309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4318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4316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4313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4203</v>
      </c>
      <c r="E2255" s="292" t="s">
        <v>4322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4323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4324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4327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4331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4257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4333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4339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4340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4341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4342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4370</v>
      </c>
      <c r="E2279" s="292" t="s">
        <v>4371</v>
      </c>
      <c r="F2279" s="269" t="s">
        <v>4372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4347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4352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4354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4373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4366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4366</v>
      </c>
      <c r="E2311" s="292" t="s">
        <v>4381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4457</v>
      </c>
      <c r="E2313" s="292" t="s">
        <v>4458</v>
      </c>
      <c r="F2313" s="269" t="s">
        <v>4459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4302</v>
      </c>
      <c r="E2314" s="292" t="s">
        <v>4388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4389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4390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4406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4411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4298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4339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4361</v>
      </c>
      <c r="E2334" s="292" t="s">
        <v>4416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4427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4428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4430</v>
      </c>
    </row>
    <row r="2343" spans="1:13" x14ac:dyDescent="0.3">
      <c r="A2343" s="58">
        <v>2343</v>
      </c>
      <c r="B2343" s="264">
        <v>45985</v>
      </c>
      <c r="C2343" s="292" t="s">
        <v>4457</v>
      </c>
      <c r="E2343" s="292" t="s">
        <v>4460</v>
      </c>
      <c r="F2343" s="269" t="s">
        <v>4461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4462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4434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4436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4438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4276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4299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4441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4281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4316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4456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4450</v>
      </c>
      <c r="E2365" s="292" t="s">
        <v>4455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4470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4471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4476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4476</v>
      </c>
      <c r="E2390" s="292" t="s">
        <v>4487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4488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4491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4183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4497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4443</v>
      </c>
      <c r="E2408" s="292" t="s">
        <v>4498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4500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3770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3775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4501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4502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3733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4502</v>
      </c>
      <c r="E2421" s="292" t="s">
        <v>4510</v>
      </c>
      <c r="L2421" s="265">
        <v>-1200000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4394</v>
      </c>
    </row>
    <row r="4" spans="1:1" x14ac:dyDescent="0.3">
      <c r="A4" s="306" t="s">
        <v>4396</v>
      </c>
    </row>
    <row r="5" spans="1:1" x14ac:dyDescent="0.3">
      <c r="A5" s="306" t="s">
        <v>4397</v>
      </c>
    </row>
    <row r="6" spans="1:1" x14ac:dyDescent="0.3">
      <c r="A6" s="306" t="s">
        <v>4398</v>
      </c>
    </row>
    <row r="7" spans="1:1" x14ac:dyDescent="0.3">
      <c r="A7" s="306" t="s">
        <v>4399</v>
      </c>
    </row>
    <row r="8" spans="1:1" x14ac:dyDescent="0.3">
      <c r="A8" s="306" t="s">
        <v>4400</v>
      </c>
    </row>
    <row r="9" spans="1:1" x14ac:dyDescent="0.3">
      <c r="A9" s="306" t="s">
        <v>4401</v>
      </c>
    </row>
    <row r="10" spans="1:1" x14ac:dyDescent="0.3">
      <c r="A10" s="306" t="s">
        <v>4402</v>
      </c>
    </row>
    <row r="11" spans="1:1" x14ac:dyDescent="0.3">
      <c r="A11" s="306" t="s">
        <v>4403</v>
      </c>
    </row>
    <row r="12" spans="1:1" x14ac:dyDescent="0.3">
      <c r="A12" s="306" t="s">
        <v>4404</v>
      </c>
    </row>
    <row r="13" spans="1:1" x14ac:dyDescent="0.3">
      <c r="A13" s="306" t="s">
        <v>4405</v>
      </c>
    </row>
    <row r="14" spans="1:1" x14ac:dyDescent="0.3">
      <c r="A14" s="306" t="s">
        <v>4395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18" sqref="C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45992</v>
      </c>
      <c r="B3" s="235" t="s">
        <v>1126</v>
      </c>
      <c r="C3" s="286">
        <f>SUMIF($B:$B,A3,I:I)</f>
        <v>3218500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3218500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3770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3775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4501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4502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3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3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3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2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3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3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</v>
      </c>
      <c r="F12">
        <f>IF(D12 &lt; 10,,"")</f>
        <v>0</v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3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</v>
      </c>
      <c r="F14">
        <f>IF(D14 &lt; 10,,"")</f>
        <v>0</v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3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3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3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3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3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3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3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3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3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3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3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3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3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1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3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3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3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3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3</v>
      </c>
    </row>
    <row r="57" spans="2:7" x14ac:dyDescent="0.3">
      <c r="B57" s="47" t="s">
        <v>1778</v>
      </c>
      <c r="C57" s="302">
        <f>SUMIF(BTS_매출관리!C:C,B57,BTS_매출관리!I:I)</f>
        <v>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3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3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3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3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3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3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3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3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3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3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3</v>
      </c>
    </row>
    <row r="188" spans="2:4" x14ac:dyDescent="0.3">
      <c r="C188" s="52">
        <f>SUMIF(BTS_매출관리!C:C,B188,BTS_매출관리!I:I)</f>
        <v>0</v>
      </c>
      <c r="D188">
        <f t="shared" si="2"/>
        <v>3</v>
      </c>
    </row>
    <row r="189" spans="2:4" x14ac:dyDescent="0.3">
      <c r="C189" s="52">
        <f>SUMIF(BTS_매출관리!C:C,B189,BTS_매출관리!I:I)</f>
        <v>0</v>
      </c>
      <c r="D189">
        <f t="shared" si="2"/>
        <v>3</v>
      </c>
    </row>
    <row r="190" spans="2:4" x14ac:dyDescent="0.3">
      <c r="C190" s="52">
        <f>SUMIF(BTS_매출관리!C:C,B190,BTS_매출관리!I:I)</f>
        <v>0</v>
      </c>
      <c r="D190">
        <f t="shared" si="2"/>
        <v>3</v>
      </c>
    </row>
    <row r="191" spans="2:4" x14ac:dyDescent="0.3">
      <c r="C191" s="52">
        <f>SUMIF(BTS_매출관리!C:C,B191,BTS_매출관리!I:I)</f>
        <v>0</v>
      </c>
      <c r="D191">
        <f t="shared" si="2"/>
        <v>3</v>
      </c>
    </row>
    <row r="192" spans="2:4" x14ac:dyDescent="0.3">
      <c r="C192" s="52">
        <f>SUMIF(BTS_매출관리!C:C,B192,BTS_매출관리!I:I)</f>
        <v>0</v>
      </c>
      <c r="D192">
        <f t="shared" si="2"/>
        <v>3</v>
      </c>
    </row>
    <row r="193" spans="3:4" x14ac:dyDescent="0.3">
      <c r="C193" s="52">
        <f>SUMIF(BTS_매출관리!C:C,B193,BTS_매출관리!I:I)</f>
        <v>0</v>
      </c>
      <c r="D193">
        <f t="shared" si="2"/>
        <v>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</v>
      </c>
    </row>
    <row r="195" spans="3:4" x14ac:dyDescent="0.3">
      <c r="C195" s="52">
        <f>SUMIF(BTS_매출관리!C:C,B195,BTS_매출관리!I:I)</f>
        <v>0</v>
      </c>
      <c r="D195">
        <f t="shared" si="3"/>
        <v>3</v>
      </c>
    </row>
    <row r="196" spans="3:4" x14ac:dyDescent="0.3">
      <c r="C196" s="52">
        <f>SUMIF(BTS_매출관리!C:C,B196,BTS_매출관리!I:I)</f>
        <v>0</v>
      </c>
      <c r="D196">
        <f t="shared" si="3"/>
        <v>3</v>
      </c>
    </row>
    <row r="197" spans="3:4" x14ac:dyDescent="0.3">
      <c r="C197" s="52">
        <f>SUMIF(BTS_매출관리!C:C,B197,BTS_매출관리!I:I)</f>
        <v>0</v>
      </c>
      <c r="D197">
        <f t="shared" si="3"/>
        <v>3</v>
      </c>
    </row>
    <row r="198" spans="3:4" x14ac:dyDescent="0.3">
      <c r="C198" s="52">
        <f>SUMIF(BTS_매출관리!C:C,B198,BTS_매출관리!I:I)</f>
        <v>0</v>
      </c>
      <c r="D198">
        <f t="shared" si="3"/>
        <v>3</v>
      </c>
    </row>
    <row r="199" spans="3:4" x14ac:dyDescent="0.3">
      <c r="C199" s="52">
        <f>SUMIF(BTS_매출관리!C:C,B199,BTS_매출관리!I:I)</f>
        <v>0</v>
      </c>
      <c r="D199">
        <f t="shared" si="3"/>
        <v>3</v>
      </c>
    </row>
    <row r="200" spans="3:4" x14ac:dyDescent="0.3">
      <c r="C200" s="52">
        <f>SUMIF(BTS_매출관리!C:C,B200,BTS_매출관리!I:I)</f>
        <v>0</v>
      </c>
      <c r="D200">
        <f t="shared" si="3"/>
        <v>3</v>
      </c>
    </row>
    <row r="201" spans="3:4" x14ac:dyDescent="0.3">
      <c r="C201" s="52">
        <f>SUMIF(BTS_매출관리!C:C,B201,BTS_매출관리!I:I)</f>
        <v>0</v>
      </c>
      <c r="D201">
        <f t="shared" si="3"/>
        <v>3</v>
      </c>
    </row>
    <row r="202" spans="3:4" x14ac:dyDescent="0.3">
      <c r="C202" s="52">
        <f>SUMIF(BTS_매출관리!C:C,B202,BTS_매출관리!I:I)</f>
        <v>0</v>
      </c>
      <c r="D202">
        <f t="shared" si="3"/>
        <v>3</v>
      </c>
    </row>
    <row r="203" spans="3:4" x14ac:dyDescent="0.3">
      <c r="C203" s="52">
        <f>SUMIF(BTS_매출관리!C:C,B203,BTS_매출관리!I:I)</f>
        <v>0</v>
      </c>
      <c r="D203">
        <f t="shared" si="3"/>
        <v>3</v>
      </c>
    </row>
    <row r="204" spans="3:4" x14ac:dyDescent="0.3">
      <c r="C204" s="52">
        <f>SUMIF(BTS_매출관리!C:C,B204,BTS_매출관리!I:I)</f>
        <v>0</v>
      </c>
      <c r="D204">
        <f t="shared" si="3"/>
        <v>3</v>
      </c>
    </row>
    <row r="205" spans="3:4" x14ac:dyDescent="0.3">
      <c r="C205" s="52">
        <f>SUMIF(BTS_매출관리!C:C,B205,BTS_매출관리!I:I)</f>
        <v>0</v>
      </c>
      <c r="D205">
        <f t="shared" si="3"/>
        <v>3</v>
      </c>
    </row>
    <row r="206" spans="3:4" x14ac:dyDescent="0.3">
      <c r="C206" s="52">
        <f>SUMIF(BTS_매출관리!C:C,B206,BTS_매출관리!I:I)</f>
        <v>0</v>
      </c>
      <c r="D206">
        <f t="shared" si="3"/>
        <v>3</v>
      </c>
    </row>
    <row r="207" spans="3:4" x14ac:dyDescent="0.3">
      <c r="C207" s="52">
        <f>SUMIF(BTS_매출관리!C:C,B207,BTS_매출관리!I:I)</f>
        <v>0</v>
      </c>
      <c r="D207">
        <f t="shared" si="3"/>
        <v>3</v>
      </c>
    </row>
    <row r="208" spans="3:4" x14ac:dyDescent="0.3">
      <c r="C208" s="52">
        <f>SUMIF(BTS_매출관리!C:C,B208,BTS_매출관리!I:I)</f>
        <v>0</v>
      </c>
      <c r="D208">
        <f t="shared" si="3"/>
        <v>3</v>
      </c>
    </row>
    <row r="209" spans="3:4" x14ac:dyDescent="0.3">
      <c r="C209" s="52">
        <f>SUMIF(BTS_매출관리!C:C,B209,BTS_매출관리!I:I)</f>
        <v>0</v>
      </c>
      <c r="D209">
        <f t="shared" si="3"/>
        <v>3</v>
      </c>
    </row>
    <row r="210" spans="3:4" x14ac:dyDescent="0.3">
      <c r="C210" s="52">
        <f>SUMIF(BTS_매출관리!C:C,B210,BTS_매출관리!I:I)</f>
        <v>0</v>
      </c>
      <c r="D210">
        <f t="shared" si="3"/>
        <v>3</v>
      </c>
    </row>
    <row r="211" spans="3:4" x14ac:dyDescent="0.3">
      <c r="C211" s="52">
        <f>SUMIF(BTS_매출관리!C:C,B211,BTS_매출관리!I:I)</f>
        <v>0</v>
      </c>
      <c r="D211">
        <f t="shared" si="3"/>
        <v>3</v>
      </c>
    </row>
    <row r="212" spans="3:4" x14ac:dyDescent="0.3">
      <c r="C212" s="52">
        <f>SUMIF(BTS_매출관리!C:C,B212,BTS_매출관리!I:I)</f>
        <v>0</v>
      </c>
      <c r="D212">
        <f t="shared" si="3"/>
        <v>3</v>
      </c>
    </row>
    <row r="213" spans="3:4" x14ac:dyDescent="0.3">
      <c r="C213" s="52">
        <f>SUMIF(BTS_매출관리!C:C,B213,BTS_매출관리!I:I)</f>
        <v>0</v>
      </c>
      <c r="D213">
        <f t="shared" si="3"/>
        <v>3</v>
      </c>
    </row>
    <row r="214" spans="3:4" x14ac:dyDescent="0.3">
      <c r="C214" s="52">
        <f>SUMIF(BTS_매출관리!C:C,B214,BTS_매출관리!I:I)</f>
        <v>0</v>
      </c>
      <c r="D214">
        <f t="shared" si="3"/>
        <v>3</v>
      </c>
    </row>
    <row r="215" spans="3:4" x14ac:dyDescent="0.3">
      <c r="C215" s="52">
        <f>SUMIF(BTS_매출관리!C:C,B215,BTS_매출관리!I:I)</f>
        <v>0</v>
      </c>
      <c r="D215">
        <f t="shared" si="3"/>
        <v>3</v>
      </c>
    </row>
    <row r="216" spans="3:4" x14ac:dyDescent="0.3">
      <c r="C216" s="52">
        <f>SUMIF(BTS_매출관리!C:C,B216,BTS_매출관리!I:I)</f>
        <v>0</v>
      </c>
      <c r="D216">
        <f t="shared" si="3"/>
        <v>3</v>
      </c>
    </row>
    <row r="217" spans="3:4" x14ac:dyDescent="0.3">
      <c r="C217" s="52">
        <f>SUMIF(BTS_매출관리!C:C,B217,BTS_매출관리!I:I)</f>
        <v>0</v>
      </c>
      <c r="D217">
        <f t="shared" si="3"/>
        <v>3</v>
      </c>
    </row>
    <row r="218" spans="3:4" x14ac:dyDescent="0.3">
      <c r="C218" s="52">
        <f>SUMIF(BTS_매출관리!C:C,B218,BTS_매출관리!I:I)</f>
        <v>0</v>
      </c>
      <c r="D218">
        <f t="shared" si="3"/>
        <v>3</v>
      </c>
    </row>
    <row r="219" spans="3:4" x14ac:dyDescent="0.3">
      <c r="C219" s="52">
        <f>SUMIF(BTS_매출관리!C:C,B219,BTS_매출관리!I:I)</f>
        <v>0</v>
      </c>
      <c r="D219">
        <f t="shared" si="3"/>
        <v>3</v>
      </c>
    </row>
    <row r="220" spans="3:4" x14ac:dyDescent="0.3">
      <c r="C220" s="52">
        <f>SUMIF(BTS_매출관리!C:C,B220,BTS_매출관리!I:I)</f>
        <v>0</v>
      </c>
      <c r="D220">
        <f t="shared" si="3"/>
        <v>3</v>
      </c>
    </row>
    <row r="221" spans="3:4" x14ac:dyDescent="0.3">
      <c r="C221" s="52">
        <f>SUMIF(BTS_매출관리!C:C,B221,BTS_매출관리!I:I)</f>
        <v>0</v>
      </c>
      <c r="D221">
        <f t="shared" si="3"/>
        <v>3</v>
      </c>
    </row>
    <row r="222" spans="3:4" x14ac:dyDescent="0.3">
      <c r="C222" s="52">
        <f>SUMIF(BTS_매출관리!C:C,B222,BTS_매출관리!I:I)</f>
        <v>0</v>
      </c>
      <c r="D222">
        <f t="shared" si="3"/>
        <v>3</v>
      </c>
    </row>
    <row r="223" spans="3:4" x14ac:dyDescent="0.3">
      <c r="C223" s="52">
        <f>SUMIF(BTS_매출관리!C:C,B223,BTS_매출관리!I:I)</f>
        <v>0</v>
      </c>
      <c r="D223">
        <f t="shared" si="3"/>
        <v>3</v>
      </c>
    </row>
    <row r="224" spans="3:4" x14ac:dyDescent="0.3">
      <c r="C224" s="52">
        <f>SUMIF(BTS_매출관리!C:C,B224,BTS_매출관리!I:I)</f>
        <v>0</v>
      </c>
      <c r="D224">
        <f t="shared" si="3"/>
        <v>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1274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4203</v>
      </c>
      <c r="D1129" t="s">
        <v>4207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4208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4211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4212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4215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4223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4224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4226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4227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4228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4230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4231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4241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4242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4243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4244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4253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4255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4258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4259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4260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4263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4268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4270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4272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4273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4274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4275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4287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4288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4290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4292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4293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4294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4295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4296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4305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4306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4307</v>
      </c>
    </row>
    <row r="1170" spans="1:4" x14ac:dyDescent="0.3">
      <c r="A1170">
        <v>1194</v>
      </c>
      <c r="B1170" s="13">
        <v>45974</v>
      </c>
      <c r="C1170" t="s">
        <v>4302</v>
      </c>
      <c r="D1170" t="s">
        <v>4308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4310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4311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4329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4335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4346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4348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4351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4355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4356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4358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4360</v>
      </c>
    </row>
    <row r="1199" spans="1:4" x14ac:dyDescent="0.3">
      <c r="A1199">
        <v>1223</v>
      </c>
      <c r="B1199" s="13">
        <v>45979</v>
      </c>
      <c r="C1199" t="s">
        <v>4361</v>
      </c>
      <c r="D1199" t="s">
        <v>4362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4377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4378</v>
      </c>
    </row>
    <row r="1203" spans="1:4" x14ac:dyDescent="0.3">
      <c r="A1203">
        <v>1227</v>
      </c>
      <c r="B1203" s="13">
        <v>45980</v>
      </c>
      <c r="C1203" t="s">
        <v>4366</v>
      </c>
      <c r="D1203" t="s">
        <v>4379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4407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4410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4421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4439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4440</v>
      </c>
    </row>
    <row r="1225" spans="1:4" x14ac:dyDescent="0.3">
      <c r="A1225">
        <v>1249</v>
      </c>
      <c r="B1225" s="13">
        <v>45985</v>
      </c>
      <c r="C1225" t="s">
        <v>4443</v>
      </c>
      <c r="D1225" t="s">
        <v>4445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4449</v>
      </c>
    </row>
    <row r="1227" spans="1:4" x14ac:dyDescent="0.3">
      <c r="A1227">
        <v>1251</v>
      </c>
      <c r="B1227" s="13">
        <v>45986</v>
      </c>
      <c r="C1227" t="s">
        <v>4450</v>
      </c>
      <c r="D1227" t="s">
        <v>4453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4465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4466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4467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4468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4469</v>
      </c>
    </row>
    <row r="1235" spans="1:4" x14ac:dyDescent="0.3">
      <c r="A1235">
        <v>1259</v>
      </c>
      <c r="B1235" s="13">
        <v>45988</v>
      </c>
      <c r="C1235" t="s">
        <v>4476</v>
      </c>
      <c r="D1235" t="s">
        <v>4481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4482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4483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4484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4485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4486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4489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4490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4492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4493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4496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4499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4506</v>
      </c>
    </row>
    <row r="1248" spans="1:4" x14ac:dyDescent="0.3">
      <c r="A1248">
        <v>1272</v>
      </c>
      <c r="B1248" s="13">
        <v>45992</v>
      </c>
      <c r="C1248" t="s">
        <v>4502</v>
      </c>
      <c r="D1248" t="s">
        <v>4507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2" sqref="I2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211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4365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18563000.200000003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4365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4417</v>
      </c>
    </row>
    <row r="40" spans="1:10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4417</v>
      </c>
      <c r="J68" t="s">
        <v>4137</v>
      </c>
    </row>
    <row r="69" spans="1:10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4442</v>
      </c>
    </row>
    <row r="72" spans="1:10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4472</v>
      </c>
    </row>
    <row r="73" spans="1:10" hidden="1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4472</v>
      </c>
    </row>
    <row r="78" spans="1:10" hidden="1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4365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1700000</v>
      </c>
    </row>
    <row r="86" spans="1:11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1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hidden="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hidden="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4317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2436500</v>
      </c>
    </row>
    <row r="98" spans="1:11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4264</v>
      </c>
    </row>
    <row r="100" spans="1:11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4713000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hidden="1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</row>
    <row r="117" spans="1:10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hidden="1" x14ac:dyDescent="0.3">
      <c r="A119" s="47">
        <v>118</v>
      </c>
      <c r="B119" t="s">
        <v>4282</v>
      </c>
      <c r="C119" t="s">
        <v>4283</v>
      </c>
      <c r="E119" t="s">
        <v>4284</v>
      </c>
      <c r="F119" t="s">
        <v>4285</v>
      </c>
      <c r="G119" t="s">
        <v>4286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4363</v>
      </c>
      <c r="G129" t="s">
        <v>4364</v>
      </c>
      <c r="H129" s="194">
        <f>SUMIF(주문_리스트!C:C,거래처!B129,주문_리스트!K:K)+SUMIF(주문_리스트!C:C,거래처!B129,주문_리스트!L:L)</f>
        <v>0</v>
      </c>
      <c r="I129" s="52" t="s">
        <v>4365</v>
      </c>
    </row>
    <row r="130" spans="1:10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4312</v>
      </c>
    </row>
    <row r="139" spans="1:10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4314</v>
      </c>
    </row>
    <row r="163" spans="1:11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hidden="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hidden="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hidden="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hidden="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hidden="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hidden="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hidden="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hidden="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hidden="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hidden="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A200" s="47">
        <v>200</v>
      </c>
      <c r="B200" t="s">
        <v>4203</v>
      </c>
      <c r="C200" t="s">
        <v>4204</v>
      </c>
      <c r="E200" t="s">
        <v>4205</v>
      </c>
      <c r="F200" t="s">
        <v>963</v>
      </c>
      <c r="G200" t="s">
        <v>4206</v>
      </c>
      <c r="H200" s="194">
        <f>SUMIF(주문_리스트!C:C,거래처!B200,주문_리스트!K:K)+SUMIF(주문_리스트!C:C,거래처!B200,주문_리스트!L:L)</f>
        <v>0</v>
      </c>
      <c r="J200" t="s">
        <v>4315</v>
      </c>
    </row>
    <row r="201" spans="1:11" hidden="1" x14ac:dyDescent="0.3">
      <c r="A201" s="47">
        <v>201</v>
      </c>
      <c r="B201" t="s">
        <v>4302</v>
      </c>
      <c r="C201" t="s">
        <v>4303</v>
      </c>
      <c r="E201" t="s">
        <v>4304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4365</v>
      </c>
    </row>
    <row r="202" spans="1:11" hidden="1" x14ac:dyDescent="0.3">
      <c r="A202" s="47">
        <v>202</v>
      </c>
      <c r="B202" t="s">
        <v>4367</v>
      </c>
      <c r="C202" t="s">
        <v>4368</v>
      </c>
      <c r="E202" t="s">
        <v>4369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A203" s="47">
        <v>203</v>
      </c>
      <c r="B203" t="s">
        <v>4418</v>
      </c>
      <c r="C203" t="s">
        <v>4419</v>
      </c>
      <c r="E203" t="s">
        <v>4420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A204" s="47">
        <v>204</v>
      </c>
      <c r="B204" t="s">
        <v>3535</v>
      </c>
      <c r="C204" t="s">
        <v>4422</v>
      </c>
      <c r="D204" t="s">
        <v>4423</v>
      </c>
      <c r="E204" t="s">
        <v>4424</v>
      </c>
      <c r="F204" t="s">
        <v>963</v>
      </c>
      <c r="G204" t="s">
        <v>4425</v>
      </c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A205" s="47">
        <v>205</v>
      </c>
      <c r="B205" t="s">
        <v>4443</v>
      </c>
      <c r="C205" t="s">
        <v>1039</v>
      </c>
      <c r="E205" t="s">
        <v>4444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A206" s="47">
        <v>206</v>
      </c>
      <c r="B206" t="s">
        <v>4446</v>
      </c>
      <c r="C206" t="s">
        <v>4447</v>
      </c>
      <c r="E206" t="s">
        <v>4448</v>
      </c>
      <c r="F206" t="s">
        <v>1179</v>
      </c>
      <c r="H206" s="194">
        <v>0</v>
      </c>
    </row>
    <row r="207" spans="1:11" hidden="1" x14ac:dyDescent="0.3">
      <c r="A207" s="47">
        <v>207</v>
      </c>
      <c r="B207" t="s">
        <v>4450</v>
      </c>
      <c r="C207" t="s">
        <v>4451</v>
      </c>
      <c r="E207" t="s">
        <v>4452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A208" s="47">
        <v>208</v>
      </c>
      <c r="B208" t="s">
        <v>4477</v>
      </c>
      <c r="C208" t="s">
        <v>4478</v>
      </c>
      <c r="E208" t="s">
        <v>4479</v>
      </c>
      <c r="F208" t="s">
        <v>4480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4502</v>
      </c>
      <c r="C209" t="s">
        <v>4503</v>
      </c>
      <c r="E209" t="s">
        <v>4504</v>
      </c>
      <c r="F209" t="s">
        <v>963</v>
      </c>
      <c r="G209" t="s">
        <v>4511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-58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-24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-127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-58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4475</v>
      </c>
      <c r="D85" s="288" t="s">
        <v>2730</v>
      </c>
      <c r="E85" s="288" t="s">
        <v>4475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-127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4256</v>
      </c>
      <c r="D255" s="288" t="s">
        <v>4257</v>
      </c>
      <c r="E255" s="288" t="s">
        <v>4256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4271</v>
      </c>
      <c r="D256" s="288" t="s">
        <v>1203</v>
      </c>
      <c r="E256" s="288" t="s">
        <v>4271</v>
      </c>
      <c r="F256" s="52">
        <v>1200000</v>
      </c>
    </row>
    <row r="257" spans="1:6" x14ac:dyDescent="0.3">
      <c r="A257">
        <v>260</v>
      </c>
      <c r="D257" s="288" t="s">
        <v>4309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4408</v>
      </c>
      <c r="D258" s="288" t="s">
        <v>4409</v>
      </c>
      <c r="E258" s="288" t="s">
        <v>4408</v>
      </c>
    </row>
    <row r="259" spans="1:6" x14ac:dyDescent="0.3">
      <c r="A259">
        <v>262</v>
      </c>
      <c r="B259">
        <v>3</v>
      </c>
      <c r="C259" s="288" t="s">
        <v>4473</v>
      </c>
      <c r="D259" s="288" t="s">
        <v>4474</v>
      </c>
      <c r="E259" s="288" t="s">
        <v>4473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2025-12-01T09:07:38Z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