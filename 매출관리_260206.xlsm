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E88953C-8375-471D-A2EB-7BB205BAC52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<sst xmlns="http://schemas.openxmlformats.org/spreadsheetml/2006/main" count="15460" uniqueCount="5082">
  <si>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</si>
  <si>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</si>
  <si>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</si>
  <si>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</si>
  <si>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</si>
  <si>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</si>
  <si>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</si>
  <si>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</si>
  <si>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</si>
  <si>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</si>
  <si>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</si>
  <si>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</si>
  <si>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</si>
  <si>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</si>
  <si>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</si>
  <si>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</si>
  <si>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</si>
  <si>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</si>
  <si>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</si>
  <si>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</si>
  <si>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</si>
  <si>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</si>
  <si>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</si>
  <si>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</si>
  <si>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</si>
  <si>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</si>
  <si>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</si>
  <si>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</si>
  <si>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</si>
  <si>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</si>
  <si>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</si>
  <si>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</si>
  <si>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</si>
  <si>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</si>
  <si>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</si>
  <si>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</si>
  <si>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</si>
  <si>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</si>
  <si>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</si>
  <si>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</si>
  <si>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</si>
  <si>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</si>
  <si>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</si>
  <si>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</si>
  <si>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</si>
  <si>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</si>
  <si>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</si>
  <si>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</si>
  <si>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</si>
  <si>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</si>
  <si>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</si>
  <si>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</si>
  <si>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</si>
  <si>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</si>
  <si>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</si>
  <si>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</si>
  <si>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</si>
  <si>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</si>
  <si>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</si>
  <si>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</si>
  <si>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</si>
  <si>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</si>
  <si>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</si>
  <si>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</si>
  <si>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</si>
  <si>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</si>
  <si>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</si>
  <si>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</si>
  <si>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</si>
  <si>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</si>
  <si>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</si>
  <si>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</si>
  <si>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</si>
  <si>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</si>
  <si>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</si>
  <si>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</si>
  <si>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</si>
  <si>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</si>
  <si>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</si>
  <si>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</si>
  <si>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</si>
  <si>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</si>
  <si>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</si>
  <si>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</si>
  <si>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</si>
  <si>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</si>
  <si>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</si>
  <si>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</si>
  <si>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</si>
  <si>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</si>
  <si>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</si>
  <si>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</si>
  <si>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</si>
  <si>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</si>
  <si>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</si>
  <si>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</si>
  <si>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</si>
  <si>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</si>
  <si>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</si>
  <si>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</si>
  <si>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</si>
  <si>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</si>
  <si>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</si>
  <si>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</si>
  <si>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</si>
  <si>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</si>
  <si>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</si>
  <si>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</si>
  <si>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</si>
  <si>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</si>
  <si>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</si>
  <si>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</si>
  <si>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</si>
  <si>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</si>
  <si>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</si>
  <si>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</si>
  <si>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</si>
  <si>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</si>
  <si>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</si>
  <si>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</si>
  <si>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</si>
  <si>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</si>
  <si>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</si>
  <si>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</si>
  <si>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</si>
  <si>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</si>
  <si>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</si>
  <si>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</si>
  <si>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</si>
  <si>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</si>
  <si>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</si>
  <si>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</si>
  <si>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</si>
  <si>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</si>
  <si>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</si>
  <si>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</si>
  <si>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</si>
  <si>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</si>
  <si>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</si>
  <si>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</si>
  <si>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</si>
  <si>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</si>
  <si>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</si>
  <si>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</si>
  <si>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</si>
  <si>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</si>
  <si>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</si>
  <si>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</si>
  <si>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</si>
  <si>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</si>
  <si>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</si>
  <si>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</si>
  <si>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</si>
  <si>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</si>
  <si>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</si>
  <si>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</si>
  <si>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</si>
  <si>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</si>
  <si>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</si>
  <si>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</si>
  <si>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</si>
  <si>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</si>
  <si>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</si>
  <si>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</si>
  <si>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</si>
  <si>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</si>
  <si>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</si>
  <si>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</si>
  <si>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</si>
  <si>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</si>
  <si>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</si>
  <si>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</si>
  <si>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</si>
  <si>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</si>
  <si>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</si>
  <si>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</si>
  <si>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</si>
  <si>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</si>
  <si>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</si>
  <si>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</si>
  <si>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</si>
  <si>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</si>
  <si>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</si>
  <si>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</si>
  <si>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</si>
  <si>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</si>
  <si>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</si>
  <si>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</si>
  <si>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</si>
  <si>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</si>
  <si>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</si>
  <si>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</si>
  <si>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</si>
  <si>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</si>
  <si>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</si>
  <si>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</si>
  <si>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</si>
  <si>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</si>
  <si>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</si>
  <si>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</si>
  <si>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</si>
  <si>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</si>
  <si>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</si>
  <si>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</si>
  <si>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</si>
  <si>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</si>
  <si>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</si>
  <si>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</si>
  <si>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</si>
  <si>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</si>
  <si>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</si>
  <si>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</si>
  <si>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</si>
  <si>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</si>
  <si>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</si>
  <si>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</si>
  <si>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</si>
  <si>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</si>
  <si>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</si>
  <si>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</si>
  <si>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</si>
  <si>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</si>
  <si>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</si>
  <si>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</si>
  <si>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</si>
  <si>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</si>
  <si>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</si>
  <si>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</si>
  <si>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</si>
  <si>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</si>
  <si>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</si>
  <si>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</si>
  <si>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</si>
  <si>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</si>
  <si>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</si>
  <si>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</si>
  <si>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</si>
  <si>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</si>
  <si>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</si>
  <si>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</si>
  <si>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</si>
  <si>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</si>
  <si>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</si>
  <si>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</si>
  <si>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</si>
  <si>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</si>
  <si>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</si>
  <si>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</si>
  <si>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</si>
  <si>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</si>
  <si>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</si>
  <si>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</si>
  <si>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</si>
  <si>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</si>
  <si>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</si>
  <si>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</si>
  <si>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</si>
  <si>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</si>
  <si>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</si>
  <si>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</si>
  <si>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</si>
  <si>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</si>
  <si>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</si>
  <si>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</si>
  <si>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</si>
  <si>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</si>
  <si>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</si>
  <si>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</si>
  <si>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</si>
  <si>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</si>
  <si>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</si>
  <si>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</si>
  <si>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</si>
  <si>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</si>
  <si>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</si>
  <si>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</si>
  <si>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</si>
  <si>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</si>
  <si>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</si>
  <si>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</si>
  <si>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</si>
  <si>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</si>
  <si>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</si>
  <si>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</si>
  <si>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</si>
  <si>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</si>
  <si>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</si>
  <si>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</si>
  <si>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</si>
  <si>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</si>
  <si>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</si>
  <si>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</si>
  <si>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</si>
  <si>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</si>
  <si>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</si>
  <si>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</si>
  <si>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</si>
  <si>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</si>
  <si>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</si>
  <si>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</si>
  <si>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</si>
  <si>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</si>
  <si>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</si>
  <si>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</si>
  <si>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</si>
  <si>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</si>
  <si>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</si>
  <si>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</si>
  <si>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</si>
  <si>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</si>
  <si>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</si>
  <si>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</si>
  <si>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</si>
  <si>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</si>
  <si>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</si>
  <si>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</si>
  <si>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</si>
  <si>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</si>
  <si>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</si>
  <si>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</si>
  <si>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</si>
  <si>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</si>
  <si>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</si>
  <si>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</si>
  <si>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</si>
  <si>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</si>
  <si>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</si>
  <si>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</si>
  <si>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</si>
  <si>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</si>
  <si>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</si>
  <si>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</si>
  <si>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</si>
  <si>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</si>
  <si>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</si>
  <si>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</si>
  <si>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</si>
  <si>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</si>
  <si>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</si>
  <si>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</si>
  <si>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</si>
  <si>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</si>
  <si>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</si>
  <si>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</si>
  <si>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</si>
  <si>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</si>
  <si>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</si>
  <si>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</si>
  <si>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</si>
  <si>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</si>
  <si>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</si>
  <si>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</si>
  <si>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</si>
  <si>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</si>
  <si>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</si>
  <si>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</si>
  <si>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</si>
  <si>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</si>
  <si>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</si>
  <si>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</si>
  <si>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</si>
  <si>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</si>
  <si>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</si>
  <si>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</si>
  <si>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</si>
  <si>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</si>
  <si>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</si>
  <si>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</si>
  <si>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</si>
  <si>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</si>
  <si>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</si>
  <si>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</si>
  <si>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</si>
  <si>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</si>
  <si>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</si>
  <si>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</si>
  <si>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</si>
  <si>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</si>
  <si>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</si>
  <si>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</si>
  <si>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</si>
  <si>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</si>
  <si>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</si>
  <si>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</si>
  <si>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</si>
  <si>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</si>
  <si>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</si>
  <si>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</si>
  <si>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</si>
  <si>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</si>
  <si>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</si>
  <si>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</si>
  <si>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</si>
  <si>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</si>
  <si>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</si>
  <si>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</si>
  <si>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</si>
  <si>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</si>
  <si>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</si>
  <si>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</si>
  <si>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</si>
  <si>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</si>
  <si>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</si>
  <si>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</si>
  <si>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</si>
  <si>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</si>
  <si>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</si>
  <si>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</si>
  <si>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</si>
  <si>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</si>
  <si>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</si>
  <si>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</si>
  <si>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</si>
  <si>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</si>
  <si>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</si>
  <si>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</si>
  <si>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</si>
  <si>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</si>
  <si>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</si>
  <si>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</si>
  <si>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</si>
  <si>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</si>
  <si>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</si>
  <si>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</si>
  <si>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</si>
  <si>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</si>
  <si>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</si>
  <si>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</si>
  <si>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</si>
  <si>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</si>
  <si>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</si>
  <si>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</si>
  <si>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</si>
  <si>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</si>
  <si>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</si>
  <si>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</si>
  <si>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</si>
  <si>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</si>
  <si>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</si>
  <si>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</si>
  <si>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</si>
  <si>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</si>
  <si>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</si>
  <si>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</si>
  <si>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</si>
  <si>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</si>
  <si>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</si>
  <si>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</si>
  <si>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</si>
  <si>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</si>
  <si>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</si>
  <si>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</si>
  <si>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</si>
  <si>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</si>
  <si>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</si>
  <si>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</si>
  <si>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</si>
  <si>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</si>
  <si>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</si>
  <si>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</si>
  <si>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</si>
  <si>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</si>
  <si>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</si>
  <si>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</si>
  <si>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</si>
  <si>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</si>
  <si>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</si>
  <si>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</si>
  <si>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</si>
  <si>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</si>
  <si>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</si>
  <si>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</si>
  <si>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</si>
  <si>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</si>
  <si>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</si>
  <si>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</si>
  <si>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</si>
  <si>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</si>
  <si>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</si>
  <si>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</si>
  <si>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</si>
  <si>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</si>
  <si>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</si>
  <si>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</si>
  <si>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</si>
  <si>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</si>
  <si>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</si>
  <si>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</si>
  <si>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</si>
  <si>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</si>
  <si>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</si>
  <si>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</si>
  <si>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</si>
  <si>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</si>
  <si>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</si>
  <si>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</si>
  <si>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</si>
  <si>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</si>
  <si>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</si>
  <si>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</si>
  <si>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</si>
  <si>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</si>
  <si>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</si>
  <si>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</si>
  <si>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</si>
  <si>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</si>
  <si>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</si>
  <si>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</si>
  <si>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</si>
  <si>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</si>
  <si>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</si>
  <si>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</si>
  <si>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</si>
  <si>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</si>
  <si>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</si>
  <si>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</si>
  <si>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</si>
  <si>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</si>
  <si>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</si>
  <si>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</si>
  <si>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</si>
  <si>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</si>
  <si>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</si>
  <si>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</si>
  <si>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</si>
  <si>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</si>
  <si>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</si>
  <si>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</si>
  <si>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</si>
  <si>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</si>
  <si>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</si>
  <si>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</si>
  <si>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</si>
  <si>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</si>
  <si>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</si>
  <si>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</si>
  <si>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</si>
  <si>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</si>
  <si>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</si>
  <si>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</si>
  <si>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</si>
  <si>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</si>
  <si>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</si>
  <si>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</si>
  <si>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</si>
  <si>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</si>
  <si>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</si>
  <si>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</si>
  <si>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</si>
  <si>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</si>
  <si>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</si>
  <si>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</si>
  <si>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</si>
  <si>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</si>
  <si>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</si>
  <si>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</si>
  <si>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</si>
  <si>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</si>
  <si>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</si>
  <si>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</si>
  <si>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</si>
  <si>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</si>
  <si>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</si>
  <si>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</si>
  <si>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</si>
  <si>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</si>
  <si>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</si>
  <si>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</si>
  <si>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</si>
  <si>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</si>
  <si>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</si>
  <si>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</si>
  <si>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</si>
  <si>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</si>
  <si>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</si>
  <si>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</si>
  <si>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</si>
  <si>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</si>
  <si>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</si>
  <si>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</si>
  <si>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</si>
  <si>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</si>
  <si>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</si>
  <si>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</si>
  <si>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</si>
  <si>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</si>
  <si>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</si>
  <si>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</si>
  <si>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</si>
  <si>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</si>
  <si>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</si>
  <si>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</si>
  <si>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</si>
  <si>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</si>
  <si>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</si>
  <si>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</si>
  <si>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</si>
  <si>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</si>
  <si>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</si>
  <si>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</si>
  <si>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</si>
  <si>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</si>
  <si>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</si>
  <si>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</si>
  <si>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</si>
  <si>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</si>
  <si>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</si>
  <si>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</si>
  <si>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</si>
  <si>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</si>
  <si>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</si>
  <si>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</si>
  <si>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</si>
  <si>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</si>
  <si>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</si>
  <si>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</si>
  <si>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</si>
  <si>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</si>
  <si>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</si>
  <si>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</si>
  <si>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</si>
  <si>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</si>
  <si>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</si>
  <si>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</si>
  <si>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</si>
  <si>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</si>
  <si>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</si>
  <si>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</si>
  <si>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</si>
  <si>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</si>
  <si>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</si>
  <si>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</si>
  <si>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</si>
  <si>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</si>
  <si>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</si>
  <si>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</si>
  <si>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</si>
  <si>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</si>
  <si>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</si>
  <si>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</si>
  <si>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</si>
  <si>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</si>
  <si>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</si>
  <si>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</si>
  <si>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</si>
  <si>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</si>
  <si>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</si>
  <si>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</si>
  <si>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</si>
  <si>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</si>
  <si>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</si>
  <si>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</si>
  <si>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</si>
  <si>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</si>
  <si>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</si>
  <si>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</si>
  <si>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</si>
  <si>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</si>
  <si>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</si>
  <si>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</si>
  <si>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</si>
  <si>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</si>
  <si>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</si>
  <si>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</si>
  <si>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</si>
  <si>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</si>
  <si>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</si>
  <si>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</si>
  <si>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</si>
  <si>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</si>
  <si>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</si>
  <si>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</si>
  <si>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</si>
  <si>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</si>
  <si>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</si>
  <si>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</si>
  <si>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</si>
  <si>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</si>
  <si>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</si>
  <si>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</si>
  <si>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</si>
  <si>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</si>
  <si>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</si>
  <si>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</si>
  <si>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</si>
  <si>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</si>
  <si>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</si>
  <si>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</si>
  <si>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</si>
  <si>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</si>
  <si>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</si>
  <si>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</si>
  <si>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</si>
  <si>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</si>
  <si>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</si>
  <si>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</si>
  <si>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</si>
  <si>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</si>
  <si>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</si>
  <si>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</si>
  <si>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</si>
  <si>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</si>
  <si>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</si>
  <si>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</si>
  <si>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</si>
  <si>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</si>
  <si>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</si>
  <si>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</si>
  <si>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</si>
  <si>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</si>
  <si>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</si>
  <si>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</si>
  <si>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</si>
  <si>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</si>
  <si>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</si>
  <si>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</si>
  <si>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</si>
  <si>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</si>
  <si>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</si>
  <si>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</si>
  <si>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</si>
  <si>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</si>
  <si>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</si>
  <si>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</si>
  <si>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</si>
  <si>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</si>
  <si>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</si>
  <si>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</si>
  <si>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</si>
  <si>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</si>
  <si>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</si>
  <si>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</si>
  <si>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</si>
  <si>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</si>
  <si>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</si>
  <si>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</si>
  <si>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</si>
  <si>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</si>
  <si>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</si>
  <si>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</si>
  <si>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</si>
  <si>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</si>
  <si>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</si>
  <si>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</si>
  <si>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</si>
  <si>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</si>
  <si>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</si>
  <si>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</si>
  <si>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</si>
  <si>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</si>
  <si>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</si>
  <si>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</si>
  <si>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</si>
  <si>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</si>
  <si>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</si>
  <si>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</si>
  <si>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</si>
  <si>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</si>
  <si>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</si>
  <si>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</si>
  <si>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</si>
  <si>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</si>
  <si>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</si>
  <si>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</si>
  <si>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</si>
  <si>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</si>
  <si>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</si>
  <si>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</si>
  <si>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</si>
  <si>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</si>
  <si>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</si>
  <si>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</si>
  <si>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</si>
  <si>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</si>
  <si>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</si>
  <si>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</si>
  <si>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</si>
  <si>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</si>
  <si>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</si>
  <si>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</si>
  <si>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</si>
  <si>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</si>
  <si>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</si>
  <si>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</si>
  <si>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</si>
  <si>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</si>
  <si>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</si>
  <si>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</si>
  <si>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</si>
  <si>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</si>
  <si>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</si>
  <si>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</si>
  <si>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</si>
  <si>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</si>
  <si>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</si>
  <si>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</si>
  <si>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</si>
  <si>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</si>
  <si>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</si>
  <si>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</si>
  <si>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</si>
  <si>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</si>
  <si>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</si>
  <si>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</si>
  <si>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</si>
  <si>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</si>
  <si>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</si>
  <si>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</si>
  <si>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</si>
  <si>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</si>
  <si>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</si>
  <si>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</si>
  <si>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</si>
  <si>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</si>
  <si>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</si>
  <si>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</si>
  <si>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</si>
  <si>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</si>
  <si>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</si>
  <si>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</si>
  <si>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</si>
  <si>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</si>
  <si>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</si>
  <si>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</si>
  <si>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</si>
  <si>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</si>
  <si>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</si>
  <si>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</si>
  <si>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</si>
  <si>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</si>
  <si>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</si>
  <si>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</si>
  <si>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</si>
  <si>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</si>
  <si>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</si>
  <si>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</si>
  <si>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</si>
  <si>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</si>
  <si>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</si>
  <si>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</si>
  <si>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</si>
  <si>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</si>
  <si>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</si>
  <si>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</si>
  <si>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</si>
  <si>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</si>
  <si>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</si>
  <si>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</si>
  <si>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</si>
  <si>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</si>
  <si>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</si>
  <si>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</si>
  <si>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</si>
  <si>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</si>
  <si>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</si>
  <si>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</si>
  <si>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</si>
  <si>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</si>
  <si>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</si>
  <si>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</si>
  <si>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</si>
  <si>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</si>
  <si>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</si>
  <si>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</si>
  <si>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</si>
  <si>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</si>
  <si>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</si>
  <si>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</si>
  <si>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</si>
  <si>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</si>
  <si>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</si>
  <si>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</si>
  <si>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</si>
  <si>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</si>
  <si>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</si>
  <si>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</si>
  <si>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</si>
  <si>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</si>
  <si>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</si>
  <si>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</si>
  <si>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</si>
  <si>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</si>
  <si>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</si>
  <si>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</si>
  <si>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</si>
  <si>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</si>
  <si>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</si>
  <si>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</si>
  <si>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</si>
  <si>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</si>
  <si>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</si>
  <si>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</si>
  <si>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</si>
  <si>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</si>
  <si>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</si>
  <si>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</si>
  <si>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</si>
  <si>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</si>
  <si>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</si>
  <si>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</si>
  <si>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</si>
  <si>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</si>
  <si>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</si>
  <si>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</si>
  <si>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</si>
  <si>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</si>
  <si>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</si>
  <si>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</si>
  <si>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</si>
  <si>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</si>
  <si>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</si>
  <si>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</si>
  <si>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</si>
  <si>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</si>
  <si>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</si>
  <si>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</si>
  <si>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</si>
  <si>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</si>
  <si>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</si>
  <si>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</si>
  <si>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</si>
  <si>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</si>
  <si>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</si>
  <si>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</si>
  <si>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</si>
  <si>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</si>
  <si>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</si>
  <si>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</si>
  <si>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</si>
  <si>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</si>
  <si>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</si>
  <si>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</si>
  <si>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</si>
  <si>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</si>
  <si>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</si>
  <si>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</si>
  <si>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</si>
  <si>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</si>
  <si>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</si>
  <si>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</si>
  <si>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</si>
  <si>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</si>
  <si>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</si>
  <si>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</si>
  <si>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</si>
  <si>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</si>
  <si>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</si>
  <si>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</si>
  <si>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</si>
  <si>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</si>
  <si>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</si>
  <si>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</si>
  <si>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</si>
  <si>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</si>
  <si>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</si>
  <si>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</si>
  <si>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</si>
  <si>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</si>
  <si>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</si>
  <si>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</si>
  <si>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</si>
  <si>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</si>
  <si>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</si>
  <si>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</si>
  <si>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</si>
  <si>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</si>
  <si>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</si>
  <si>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</si>
  <si>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</si>
  <si>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</si>
  <si>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</si>
  <si>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</si>
  <si>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</si>
  <si>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</si>
  <si>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</si>
  <si>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</si>
  <si>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</si>
  <si>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</si>
  <si>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</si>
  <si>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</si>
  <si>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</si>
  <si>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</si>
  <si>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</si>
  <si>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</si>
  <si>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</si>
  <si>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</si>
  <si>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</si>
  <si>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</si>
  <si>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</si>
  <si>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</si>
  <si>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</si>
  <si>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</si>
  <si>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</si>
  <si>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</si>
  <si>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</si>
  <si>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</si>
  <si>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</si>
  <si>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</si>
  <si>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</si>
  <si>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</si>
  <si>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</si>
  <si>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</si>
  <si>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</si>
  <si>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</si>
  <si>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</si>
  <si>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</si>
  <si>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</si>
  <si>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</si>
  <si>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</si>
  <si>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</si>
  <si>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</si>
  <si>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</si>
  <si>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</si>
  <si>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</si>
  <si>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</si>
  <si>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</si>
  <si>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</si>
  <si>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</si>
  <si>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</si>
  <si>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</si>
  <si>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</si>
  <si>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</si>
  <si>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</si>
  <si>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</si>
  <si>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</si>
  <si>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</si>
  <si>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</si>
  <si>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</si>
  <si>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</si>
  <si>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</si>
  <si>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</si>
  <si>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</si>
  <si>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</si>
  <si>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</si>
  <si>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</si>
  <si>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</si>
  <si>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</si>
  <si>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</si>
  <si>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</si>
  <si>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</si>
  <si>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</si>
  <si>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</si>
  <si>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</si>
  <si>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</si>
  <si>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</si>
  <si>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</si>
  <si>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</si>
  <si>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</si>
  <si>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</si>
  <si>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</si>
  <si>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</si>
  <si>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</si>
  <si>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</si>
  <si>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</si>
  <si>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</si>
  <si>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</si>
  <si>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</si>
  <si>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</si>
  <si>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</si>
  <si>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</si>
  <si>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</si>
  <si>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</si>
  <si>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</si>
  <si>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</si>
  <si>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</si>
  <si>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</si>
  <si>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</si>
  <si>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</si>
  <si>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</si>
  <si>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</si>
  <si>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</si>
  <si>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</si>
  <si>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</si>
  <si>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</si>
  <si>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</si>
  <si>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</si>
  <si>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</si>
  <si>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</si>
  <si>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</si>
  <si>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</si>
  <si>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</si>
  <si>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</si>
  <si>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</si>
  <si>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</si>
  <si>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</si>
  <si>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</si>
  <si>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</si>
  <si>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</si>
  <si>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</si>
  <si>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</si>
  <si>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</si>
  <si>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</si>
  <si>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</si>
  <si>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</si>
  <si>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</si>
  <si>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</si>
  <si>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</si>
  <si>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</si>
  <si>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</si>
  <si>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</si>
  <si>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</si>
  <si>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</si>
  <si>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</si>
  <si>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</si>
  <si>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</si>
  <si>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</si>
  <si>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</si>
  <si>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</si>
  <si>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</si>
  <si>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</si>
  <si>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</si>
  <si>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</si>
  <si>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</si>
  <si>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</si>
  <si>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</si>
  <si>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</si>
  <si>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</si>
  <si>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</si>
  <si>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</si>
  <si>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</si>
  <si>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</si>
  <si>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</si>
  <si>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</si>
  <si>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</si>
  <si>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</si>
  <si>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</si>
  <si>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</si>
  <si>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</si>
  <si>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</si>
  <si>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</si>
  <si>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</si>
  <si>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</si>
  <si>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</si>
  <si>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</si>
  <si>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</si>
  <si>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</si>
  <si>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</si>
  <si>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</si>
  <si>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</si>
  <si>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</si>
  <si>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</si>
  <si>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</si>
  <si>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</si>
  <si>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</si>
  <si>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</si>
  <si>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</si>
  <si>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</si>
  <si>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</si>
  <si>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</si>
  <si>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</si>
  <si>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</si>
  <si>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</si>
  <si>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</si>
  <si>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</si>
  <si>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</si>
  <si>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</si>
  <si>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</si>
  <si>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</si>
  <si>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</si>
  <si>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</si>
  <si>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</si>
  <si>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</si>
  <si>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</si>
  <si>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</si>
  <si>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</si>
  <si>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</si>
  <si>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</si>
  <si>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</si>
  <si>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</si>
  <si>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</si>
  <si>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</si>
  <si>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</si>
  <si>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</si>
  <si>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</si>
  <si>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</si>
  <si>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</si>
  <si>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</si>
  <si>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</si>
  <si>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</si>
  <si>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</si>
  <si>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</si>
  <si>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</si>
  <si>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</si>
  <si>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</si>
  <si>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</si>
  <si>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</si>
  <si>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</si>
  <si>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</si>
  <si>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</si>
  <si>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</si>
  <si>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</si>
  <si>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</si>
  <si>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</si>
  <si>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</si>
  <si>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</si>
  <si>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</si>
  <si>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</si>
  <si>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</si>
  <si>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</si>
  <si>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</si>
  <si>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</si>
  <si>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</si>
  <si>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</si>
  <si>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</si>
  <si>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</si>
  <si>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</si>
  <si>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</si>
  <si>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</si>
  <si>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</si>
  <si>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</si>
  <si>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</si>
  <si>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</si>
  <si>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</si>
  <si>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</si>
  <si>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</si>
  <si>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</si>
  <si>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</si>
  <si>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</si>
  <si>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</si>
  <si>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</si>
  <si>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</si>
  <si>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</si>
  <si>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</si>
  <si>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</si>
  <si>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</si>
  <si>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</si>
  <si>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</si>
  <si>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</si>
  <si>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</si>
  <si>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</si>
  <si>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</si>
  <si>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</si>
  <si>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</si>
  <si>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</si>
  <si>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</si>
  <si>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</si>
  <si>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</si>
  <si>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</si>
  <si>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</si>
  <si>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</si>
  <si>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</si>
  <si>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</si>
  <si>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</si>
  <si>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</si>
  <si>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</si>
  <si>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</si>
  <si>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</si>
  <si>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</si>
  <si>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</si>
  <si>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</si>
  <si>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</si>
  <si>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</si>
  <si>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</si>
  <si>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</si>
  <si>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</si>
  <si>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</si>
  <si>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</si>
  <si>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</si>
  <si>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</si>
  <si>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</si>
  <si>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</si>
  <si>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</si>
  <si>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</si>
  <si>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</si>
  <si>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</si>
  <si>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</si>
  <si>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</si>
  <si>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</si>
  <si>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</si>
  <si>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</si>
  <si>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</si>
  <si>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</si>
  <si>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</si>
  <si>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</si>
  <si>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</si>
  <si>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</si>
  <si>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</si>
  <si>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</si>
  <si>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</si>
  <si>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</si>
  <si>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</si>
  <si>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</si>
  <si>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</si>
  <si>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</si>
  <si>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</si>
  <si>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</si>
  <si>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</si>
  <si>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</si>
  <si>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</si>
  <si>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</si>
  <si>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</si>
  <si>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</si>
  <si>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</si>
  <si>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</si>
  <si>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</si>
  <si>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</si>
  <si>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</si>
  <si>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</si>
  <si>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</si>
  <si>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</si>
  <si>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</si>
  <si>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</si>
  <si>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</si>
  <si>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</si>
  <si>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</si>
  <si>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</si>
  <si>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</si>
  <si>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</si>
  <si>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</si>
  <si>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</si>
  <si>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</si>
  <si>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</si>
  <si>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</si>
  <si>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</si>
  <si>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</si>
  <si>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</si>
  <si>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</si>
  <si>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</si>
  <si>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</si>
  <si>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</si>
  <si>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</si>
  <si>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</si>
  <si>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</si>
  <si>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</si>
  <si>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</si>
  <si>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</si>
  <si>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</si>
  <si>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</si>
  <si>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</si>
  <si>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</si>
  <si>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</si>
  <si>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</si>
  <si>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</si>
  <si>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</si>
  <si>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</si>
  <si>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</si>
  <si>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</si>
  <si>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</si>
  <si>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</si>
  <si>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</si>
  <si>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</si>
  <si>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</si>
  <si>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</si>
  <si>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</si>
  <si>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</si>
  <si>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</si>
  <si>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</si>
  <si>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</si>
  <si>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</si>
  <si>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</si>
  <si>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</si>
  <si>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</si>
  <si>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</si>
  <si>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</si>
  <si>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</si>
  <si>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</si>
  <si>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</si>
  <si>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</si>
  <si>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</si>
  <si>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</si>
  <si>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</si>
  <si>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</si>
  <si>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</si>
  <si>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</si>
  <si>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</si>
  <si>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</si>
  <si>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</si>
  <si>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</si>
  <si>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</si>
  <si>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</si>
  <si>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</si>
  <si>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</si>
  <si>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</si>
  <si>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</si>
  <si>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</si>
  <si>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</si>
  <si>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</si>
  <si>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</si>
  <si>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</si>
  <si>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</si>
  <si>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</si>
  <si>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</si>
  <si>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</si>
  <si>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</si>
  <si>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</si>
  <si>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</si>
  <si>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</si>
  <si>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</si>
  <si>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</si>
  <si>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</si>
  <si>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</si>
  <si>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</si>
  <si>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</si>
  <si>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</si>
  <si>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</si>
  <si>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</si>
  <si>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</si>
  <si>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</si>
  <si>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</si>
  <si>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</si>
  <si>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</si>
  <si>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</si>
  <si>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</si>
  <si>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</si>
  <si>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</si>
  <si>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</si>
  <si>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</si>
  <si>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</si>
  <si>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</si>
  <si>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</si>
  <si>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</si>
  <si>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</si>
  <si>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</si>
  <si>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</si>
  <si>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</si>
  <si>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</si>
  <si>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</si>
  <si>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</si>
  <si>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</si>
  <si>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</si>
  <si>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</si>
  <si>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</si>
  <si>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</si>
  <si>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</si>
  <si>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</si>
  <si>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</si>
  <si>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</si>
  <si>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</si>
  <si>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</si>
  <si>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</si>
  <si>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</si>
  <si>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</si>
  <si>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</si>
  <si>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</si>
  <si>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</si>
  <si>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</si>
  <si>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</si>
  <si>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</si>
  <si>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</si>
  <si>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</si>
  <si>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</si>
  <si>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</si>
  <si>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</si>
  <si>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</si>
  <si>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</si>
  <si>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</si>
  <si>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</si>
  <si>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</si>
  <si>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</si>
  <si>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</si>
  <si>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</si>
  <si>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</si>
  <si>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</si>
  <si>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</si>
  <si>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</si>
  <si>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</si>
  <si>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</si>
  <si>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</si>
  <si>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</si>
  <si>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</si>
  <si>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</si>
  <si>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</si>
  <si>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</si>
  <si>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</si>
  <si>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</si>
  <si>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</si>
  <si>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</si>
  <si>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</si>
  <si>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</si>
  <si>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</si>
  <si>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</si>
  <si>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</si>
  <si>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</si>
  <si>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</si>
  <si>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</si>
  <si>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</si>
  <si>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</si>
  <si>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</si>
  <si>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</si>
  <si>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</si>
  <si>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</si>
  <si>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</si>
  <si>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</si>
  <si>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</si>
  <si>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</si>
  <si>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</si>
  <si>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</si>
  <si>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</si>
  <si>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</si>
  <si>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</si>
  <si>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</si>
  <si>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</si>
  <si>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</si>
  <si>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</si>
  <si>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</si>
  <si>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</si>
  <si>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</si>
  <si>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</si>
  <si>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</si>
  <si>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</si>
  <si>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</si>
  <si>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</si>
  <si>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</si>
  <si>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</si>
  <si>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</si>
  <si>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</si>
  <si>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</si>
  <si>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</si>
  <si>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</si>
  <si>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</si>
  <si>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</si>
  <si>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</si>
  <si>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</si>
  <si>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</si>
  <si>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</si>
  <si>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</si>
  <si>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</si>
  <si>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</si>
  <si>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</si>
  <si>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</si>
  <si>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</si>
  <si>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</si>
  <si>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</si>
  <si>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</si>
  <si>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</si>
  <si>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</si>
  <si>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</si>
  <si>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</si>
  <si>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</si>
  <si>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</si>
  <si>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</si>
  <si>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</si>
  <si>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</si>
  <si>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</si>
  <si>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</si>
  <si>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</si>
  <si>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</si>
  <si>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</si>
  <si>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</si>
  <si>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</si>
  <si>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</si>
  <si>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</si>
  <si>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</si>
  <si>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</si>
  <si>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</si>
  <si>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</si>
  <si>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</si>
  <si>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</si>
  <si>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</si>
  <si>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</si>
  <si>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</si>
  <si>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</si>
  <si>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</si>
  <si>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</si>
  <si>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</si>
  <si>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</si>
  <si>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</si>
  <si>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</si>
  <si>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</si>
  <si>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</si>
  <si>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</si>
  <si>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</si>
  <si>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</si>
  <si>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</si>
  <si>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</si>
  <si>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</si>
  <si>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</si>
  <si>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</si>
  <si>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</si>
  <si>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</si>
  <si>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</si>
  <si>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</si>
  <si>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</si>
  <si>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</si>
  <si>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</si>
  <si>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</si>
  <si>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</si>
  <si>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</si>
  <si>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</si>
  <si>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</si>
  <si>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</si>
  <si>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</si>
  <si>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</si>
  <si>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</si>
  <si>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</si>
  <si>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</si>
  <si>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</si>
  <si>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</si>
  <si>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</si>
  <si>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</si>
  <si>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</si>
  <si>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</si>
  <si>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</si>
  <si>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</si>
  <si>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</si>
  <si>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</si>
  <si>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</si>
  <si>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</si>
  <si>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</si>
  <si>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</si>
  <si>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</si>
  <si>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</si>
  <si>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</si>
  <si>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</si>
  <si>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</si>
  <si>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</si>
  <si>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</si>
  <si>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</si>
  <si>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</si>
  <si>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</si>
  <si>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</si>
  <si>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</si>
  <si>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</si>
  <si>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</si>
  <si>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</si>
  <si>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</si>
  <si>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</si>
  <si>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</si>
  <si>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</si>
  <si>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</si>
  <si>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</si>
  <si>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</si>
  <si>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</si>
  <si>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</si>
  <si>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</si>
  <si>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</si>
  <si>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</si>
  <si>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</si>
  <si>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</si>
  <si>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</si>
  <si>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</si>
  <si>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</si>
  <si>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</si>
  <si>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</si>
  <si>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</si>
  <si>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</si>
  <si>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</si>
  <si>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</si>
  <si>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</si>
  <si>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</si>
  <si>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</si>
  <si>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</si>
  <si>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</si>
  <si>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</si>
  <si>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</si>
  <si>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</si>
  <si>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</si>
  <si>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</si>
  <si>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</si>
  <si>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</si>
  <si>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</si>
  <si>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</si>
  <si>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</si>
  <si>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</si>
  <si>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</si>
  <si>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</si>
  <si>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</si>
  <si>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</si>
  <si>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</si>
  <si>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</si>
  <si>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</si>
  <si>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</si>
  <si>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</si>
  <si>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</si>
  <si>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</si>
  <si>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</si>
  <si>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</si>
  <si>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</si>
  <si>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</si>
  <si>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</si>
  <si>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</si>
  <si>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</si>
  <si>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</si>
  <si>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</si>
  <si>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</si>
  <si>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</si>
  <si>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</si>
  <si>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</si>
  <si>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</si>
  <si>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</si>
  <si>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</si>
  <si>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</si>
  <si>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</si>
  <si>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</si>
  <si>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</si>
  <si>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</si>
  <si>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</si>
  <si>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</si>
  <si>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</si>
  <si>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</si>
  <si>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</si>
  <si>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</si>
  <si>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</si>
  <si>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</si>
  <si>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</si>
  <si>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</si>
  <si>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</si>
  <si>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</si>
  <si>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</si>
  <si>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</si>
  <si>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</si>
  <si>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</si>
  <si>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</si>
  <si>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</si>
  <si>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</si>
  <si>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</si>
  <si>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</si>
  <si>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</si>
  <si>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</si>
  <si>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</si>
  <si>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</si>
  <si>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</si>
  <si>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</si>
  <si>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</si>
  <si>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</si>
  <si>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</si>
  <si>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</si>
  <si>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</si>
  <si>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</si>
  <si>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</si>
  <si>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</si>
  <si>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</si>
  <si>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</si>
  <si>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</si>
  <si>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</si>
  <si>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</si>
  <si>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</si>
  <si>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</si>
  <si>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</si>
  <si>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</si>
  <si>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</si>
  <si>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</si>
  <si>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</si>
  <si>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</si>
  <si>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</si>
  <si>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</si>
  <si>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</si>
  <si>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</si>
  <si>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</si>
  <si>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</si>
  <si>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</si>
  <si>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</si>
  <si>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</si>
  <si>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</si>
  <si>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</si>
  <si>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</si>
  <si>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</si>
  <si>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</si>
  <si>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</si>
  <si>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</si>
  <si>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</si>
  <si>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</si>
  <si>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</si>
  <si>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</si>
  <si>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</si>
  <si>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</si>
  <si>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</si>
  <si>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</si>
  <si>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</si>
  <si>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</si>
  <si>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</si>
  <si>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</si>
  <si>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</si>
  <si>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</si>
  <si>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</si>
  <si>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</si>
  <si>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</si>
  <si>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</si>
  <si>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</si>
  <si>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</si>
  <si>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</si>
  <si>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</si>
  <si>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</si>
  <si>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</si>
  <si>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</si>
  <si>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</si>
  <si>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</si>
  <si>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</si>
  <si>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</si>
  <si>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</si>
  <si>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</si>
  <si>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</si>
  <si>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</si>
  <si>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</si>
  <si>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</si>
  <si>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</si>
  <si>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</si>
  <si>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</si>
  <si>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</si>
  <si>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</si>
  <si>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</si>
  <si>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</si>
  <si>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</si>
  <si>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</si>
  <si>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</si>
  <si>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</si>
  <si>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</si>
  <si>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</si>
  <si>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</si>
  <si>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</si>
  <si>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</si>
  <si>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</si>
  <si>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</si>
  <si>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</si>
  <si>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</si>
  <si>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</si>
  <si>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</si>
  <si>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</si>
  <si>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</si>
  <si>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</si>
  <si>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</si>
  <si>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</si>
  <si>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</si>
  <si>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</si>
  <si>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</si>
  <si>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</si>
  <si>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</si>
  <si>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</si>
  <si>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</si>
  <si>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</si>
  <si>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</si>
  <si>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</si>
  <si>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</si>
  <si>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</si>
  <si>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</si>
  <si>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</si>
  <si>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</si>
  <si>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</si>
  <si>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</si>
  <si>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</si>
  <si>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</si>
  <si>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</si>
  <si>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</si>
  <si>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</si>
  <si>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</si>
  <si>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</si>
  <si>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</si>
  <si>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</si>
  <si>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</si>
  <si>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</si>
  <si>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</si>
  <si>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</si>
  <si>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</si>
  <si>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</si>
  <si>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</si>
  <si>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</si>
  <si>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</si>
  <si>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</si>
  <si>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</si>
  <si>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</si>
  <si>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</si>
  <si>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</si>
  <si>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</si>
  <si>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</si>
  <si>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</si>
  <si>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</si>
  <si>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</si>
  <si>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</si>
  <si>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</si>
  <si>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</si>
  <si>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</si>
  <si>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</si>
  <si>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</si>
  <si>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</si>
  <si>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</si>
  <si>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</si>
  <si>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</si>
  <si>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</si>
  <si>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</si>
  <si>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</si>
  <si>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</si>
  <si>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</si>
  <si>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</si>
  <si>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</si>
  <si>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</si>
  <si>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</si>
  <si>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</si>
  <si>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</si>
  <si>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</si>
  <si>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</si>
  <si>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</si>
  <si>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</si>
  <si>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</si>
  <si>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</si>
  <si>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</si>
  <si>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</si>
  <si>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</si>
  <si>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</si>
  <si>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</si>
  <si>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</si>
  <si>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</si>
  <si>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</si>
  <si>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</si>
  <si>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</si>
  <si>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</si>
  <si>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</si>
  <si>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</si>
  <si>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</si>
  <si>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</si>
  <si>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</si>
  <si>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</si>
  <si>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</si>
  <si>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</si>
  <si>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</si>
  <si>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</si>
  <si>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</si>
  <si>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</si>
  <si>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</si>
  <si>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</si>
  <si>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</si>
  <si>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</si>
  <si>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</si>
  <si>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</si>
  <si>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</si>
  <si>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</si>
  <si>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</si>
  <si>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</si>
  <si>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</si>
  <si>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</si>
  <si>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</si>
  <si>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</si>
  <si>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</si>
  <si>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</si>
  <si>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</si>
  <si>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</si>
  <si>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</si>
  <si>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</si>
  <si>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</si>
  <si>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</si>
  <si>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</si>
  <si>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</si>
  <si>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</si>
  <si>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</si>
  <si>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</si>
  <si>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</si>
  <si>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</si>
  <si>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</si>
  <si>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</si>
  <si>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</si>
  <si>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</si>
  <si>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</si>
  <si>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</si>
  <si>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</si>
  <si>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</si>
  <si>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</si>
  <si>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</si>
  <si>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</si>
  <si>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</si>
  <si>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</si>
  <si>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</si>
  <si>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</si>
  <si>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</si>
  <si>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</si>
  <si>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</si>
  <si>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</si>
  <si>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</si>
  <si>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</si>
  <si>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</si>
  <si>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</si>
  <si>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</si>
  <si>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</si>
  <si>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</si>
  <si>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</si>
  <si>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</si>
  <si>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</si>
  <si>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</si>
  <si>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</si>
  <si>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</si>
  <si>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</si>
  <si>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</si>
  <si>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</si>
  <si>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</si>
  <si>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</si>
  <si>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</si>
  <si>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</si>
  <si>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</si>
  <si>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</si>
  <si>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</si>
  <si>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</si>
  <si>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</si>
  <si>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</si>
  <si>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</si>
  <si>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</si>
  <si>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</si>
  <si>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</si>
  <si>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</si>
  <si>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</si>
  <si>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</si>
  <si>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</si>
  <si>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</si>
  <si>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</si>
  <si>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</si>
  <si>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</si>
  <si>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</si>
  <si>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</si>
  <si>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</si>
  <si>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</si>
  <si>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</si>
  <si>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</si>
  <si>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</si>
  <si>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</si>
  <si>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</si>
  <si>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</si>
  <si>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</si>
  <si>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</si>
  <si>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</si>
  <si>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</si>
  <si>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</si>
  <si>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</si>
  <si>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</si>
  <si>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</si>
  <si>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</si>
  <si>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</si>
  <si>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</si>
  <si>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</si>
  <si>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</si>
  <si>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</si>
  <si>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</si>
  <si>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</si>
  <si>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</si>
  <si>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</si>
  <si>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</si>
  <si>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</si>
  <si>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</si>
  <si>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</si>
  <si>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</si>
  <si>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</si>
  <si>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</si>
  <si>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</si>
  <si>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</si>
  <si>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</si>
  <si>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</si>
  <si>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</si>
  <si>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</si>
  <si>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</si>
  <si>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</si>
  <si>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</si>
  <si>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</si>
  <si>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</si>
  <si>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</si>
  <si>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</si>
  <si>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</si>
  <si>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</si>
  <si>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</si>
  <si>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</si>
  <si>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</si>
  <si>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</si>
  <si>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</si>
  <si>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</si>
  <si>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</si>
  <si>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</si>
  <si>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</si>
  <si>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</si>
  <si>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</si>
  <si>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</si>
  <si>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</si>
  <si>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</si>
  <si>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</si>
  <si>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</si>
  <si>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</si>
  <si>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</si>
  <si>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</si>
  <si>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</si>
  <si>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</si>
  <si>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</si>
  <si>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</si>
  <si>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</si>
  <si>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</si>
  <si>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</si>
  <si>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</si>
  <si>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</si>
  <si>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</si>
  <si>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</si>
  <si>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</si>
  <si>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</si>
  <si>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</si>
  <si>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</si>
  <si>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</si>
  <si>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</si>
  <si>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</si>
  <si>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</si>
  <si>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</si>
  <si>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</si>
  <si>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</si>
  <si>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</si>
  <si>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</si>
  <si>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</si>
  <si>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</si>
  <si>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</si>
  <si>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</si>
  <si>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</si>
  <si>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</si>
  <si>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</si>
  <si>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</si>
  <si>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</si>
  <si>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</si>
  <si>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</si>
  <si>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</si>
  <si>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</si>
  <si>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</si>
  <si>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</si>
  <si>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</si>
  <si>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</si>
  <si>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</si>
  <si>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</si>
  <si>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</si>
  <si>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</si>
  <si>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</si>
  <si>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</si>
  <si>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</si>
  <si>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</si>
  <si>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</si>
  <si>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</si>
  <si>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</si>
  <si>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</si>
  <si>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</si>
  <si>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</si>
  <si>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</si>
  <si>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</si>
  <si>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</si>
  <si>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</si>
  <si>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</si>
  <si>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</si>
  <si>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</si>
  <si>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</si>
  <si>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</si>
  <si>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</si>
  <si>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</si>
  <si>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</si>
  <si>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</si>
  <si>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</si>
  <si>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</si>
  <si>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</si>
  <si>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</si>
  <si>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</si>
  <si>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</si>
  <si>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</si>
  <si>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</si>
  <si>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</si>
  <si>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</si>
  <si>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</si>
  <si>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</si>
  <si>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</si>
  <si>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</si>
  <si>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</si>
  <si>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</si>
  <si>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</si>
  <si>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</si>
  <si>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</si>
  <si>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</si>
  <si>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</si>
  <si>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</si>
  <si>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</si>
  <si>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</si>
  <si>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</si>
  <si>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</si>
  <si>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</si>
  <si>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</si>
  <si>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</si>
  <si>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</si>
  <si>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</si>
  <si>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</si>
  <si>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</si>
  <si>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</si>
  <si>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</si>
  <si>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</si>
  <si>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</si>
  <si>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</si>
  <si>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</si>
  <si>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</si>
  <si>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</si>
  <si>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</si>
  <si>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</si>
  <si>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</si>
  <si>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</si>
  <si>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</si>
  <si>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</si>
  <si>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</si>
  <si>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</si>
  <si>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</si>
  <si>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</si>
  <si>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</si>
  <si>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</si>
  <si>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</si>
  <si>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</si>
  <si>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</si>
  <si>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</si>
  <si>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</si>
  <si>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</si>
  <si>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</si>
  <si>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</si>
  <si>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</si>
  <si>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</si>
  <si>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</si>
  <si>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</si>
  <si>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</si>
  <si>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</si>
  <si>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</si>
  <si>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</si>
  <si>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</si>
  <si>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</si>
  <si>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</si>
  <si>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</si>
  <si>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</si>
  <si>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</si>
  <si>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</si>
  <si>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</si>
  <si>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</si>
  <si>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</si>
  <si>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</si>
  <si>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</si>
  <si>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</si>
  <si>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</si>
  <si>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</si>
  <si>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</si>
  <si>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</si>
  <si>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</si>
  <si>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</si>
  <si>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</si>
  <si>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</si>
  <si>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</si>
  <si>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</si>
  <si>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</si>
  <si>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</si>
  <si>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</si>
  <si>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</si>
  <si>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</si>
  <si>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</si>
  <si>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</si>
  <si>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</si>
  <si>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</si>
  <si>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</si>
  <si>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</si>
  <si>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</si>
  <si>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</si>
  <si>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</si>
  <si>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</si>
  <si>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</si>
  <si>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</si>
  <si>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</si>
  <si>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</si>
  <si>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</si>
  <si>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</si>
  <si>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</si>
  <si>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</si>
  <si>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</si>
  <si>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</si>
  <si>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</si>
  <si>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</si>
  <si>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</si>
  <si>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</si>
  <si>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</si>
  <si>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</si>
  <si>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</si>
  <si>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</si>
  <si>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</si>
  <si>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</si>
  <si>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</si>
  <si>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</si>
  <si>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</si>
  <si>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</si>
  <si>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</si>
  <si>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</si>
  <si>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</si>
  <si>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</si>
  <si>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</si>
  <si>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</si>
  <si>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</si>
  <si>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</si>
  <si>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</si>
  <si>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</si>
  <si>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</si>
  <si>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</si>
  <si>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</si>
  <si>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</si>
  <si>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</si>
  <si>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</si>
  <si>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</si>
  <si>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</si>
  <si>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</si>
  <si>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</si>
  <si>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</si>
  <si>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</si>
  <si>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</si>
  <si>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</si>
  <si>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</si>
  <si>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</si>
  <si>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</si>
  <si>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</si>
  <si>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</si>
  <si>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</si>
  <si>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</si>
  <si>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</si>
  <si>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</si>
  <si>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</si>
  <si>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</si>
  <si>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</si>
  <si>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</si>
  <si>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</si>
  <si>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</si>
  <si>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</si>
  <si>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</si>
  <si>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</si>
  <si>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</si>
  <si>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</si>
  <si>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</si>
  <si>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</si>
  <si>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</si>
  <si>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</si>
  <si>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</si>
  <si>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</si>
  <si>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</si>
  <si>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</si>
  <si>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</si>
  <si>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</si>
  <si>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</si>
  <si>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</si>
  <si>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</si>
  <si>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</si>
  <si>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</si>
  <si>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</si>
  <si>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</si>
  <si>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</si>
  <si>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</si>
  <si>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</si>
  <si>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</si>
  <si>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</si>
  <si>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</si>
  <si>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</si>
  <si>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</si>
  <si>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</si>
  <si>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</si>
  <si>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</si>
  <si>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</si>
  <si>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</si>
  <si>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</si>
  <si>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</si>
  <si>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</si>
  <si>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</si>
  <si>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</si>
  <si>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</si>
  <si>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</si>
  <si>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</si>
  <si>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</si>
  <si>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</si>
  <si>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</si>
  <si>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</si>
  <si>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</si>
  <si>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</si>
  <si>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</si>
  <si>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</si>
  <si>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</si>
  <si>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</si>
  <si>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</si>
  <si>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</si>
  <si>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</si>
  <si>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</si>
  <si>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</si>
  <si>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</si>
  <si>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</si>
  <si>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</si>
  <si>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</si>
  <si>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</si>
  <si>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</si>
  <si>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</si>
  <si>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</si>
  <si>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</si>
  <si>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</si>
  <si>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</si>
  <si>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</si>
  <si>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</si>
  <si>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</si>
  <si>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</si>
  <si>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</si>
  <si>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</si>
  <si>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</si>
  <si>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</si>
  <si>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</si>
  <si>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</si>
  <si>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</si>
  <si>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</si>
  <si>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</si>
  <si>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</si>
  <si>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</si>
  <si>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</si>
  <si>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</si>
  <si>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</si>
  <si>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</si>
  <si>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</si>
  <si>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</si>
  <si>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</si>
  <si>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</si>
  <si>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</si>
  <si>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</si>
  <si>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</si>
  <si>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</si>
  <si>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</si>
  <si>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</si>
  <si>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</si>
  <si>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</si>
  <si>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</si>
  <si>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</si>
  <si>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</si>
  <si>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</si>
  <si>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</si>
  <si>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</si>
  <si>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</si>
  <si>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</si>
  <si>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</si>
  <si>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</si>
  <si>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</si>
  <si>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</si>
  <si>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</si>
  <si>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</si>
  <si>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</si>
  <si>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</si>
  <si>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</si>
  <si>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</si>
  <si>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</si>
  <si>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</si>
  <si>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</si>
  <si>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</si>
  <si>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</si>
  <si>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</si>
  <si>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</si>
  <si>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</si>
  <si>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</si>
  <si>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</si>
  <si>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</si>
  <si>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</si>
  <si>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</si>
  <si>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</si>
  <si>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</si>
  <si>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</si>
  <si>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</si>
  <si>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</si>
  <si>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</si>
  <si>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</si>
  <si>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</si>
  <si>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</si>
  <si>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</si>
  <si>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</si>
  <si>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</si>
  <si>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</si>
  <si>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</si>
  <si>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</si>
  <si>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</si>
  <si>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</si>
  <si>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</si>
  <si>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</si>
  <si>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</si>
  <si>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</si>
  <si>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</si>
  <si>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</si>
  <si>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</si>
  <si>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</si>
  <si>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</si>
  <si>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</si>
  <si>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</si>
  <si>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</si>
  <si>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</si>
  <si>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</si>
  <si>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</si>
  <si>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</si>
  <si>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</si>
  <si>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</si>
  <si>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</si>
  <si>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</si>
  <si>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</si>
  <si>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</si>
  <si>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</si>
  <si>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</si>
  <si>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</si>
  <si>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</si>
  <si>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</si>
  <si>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</si>
  <si>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</si>
  <si>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</si>
  <si>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</si>
  <si>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</si>
  <si>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</si>
  <si>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</si>
  <si>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</si>
  <si>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</si>
  <si>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</si>
  <si>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</si>
  <si>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</si>
  <si>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</si>
  <si>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</si>
  <si>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</si>
  <si>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</si>
  <si>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</si>
  <si>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</si>
  <si>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</si>
  <si>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</si>
  <si>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</si>
  <si>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</si>
  <si>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</si>
  <si>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</si>
  <si>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</si>
  <si>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</si>
  <si>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</si>
  <si>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</si>
  <si>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</si>
  <si>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</si>
  <si>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</si>
  <si>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</si>
  <si>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</si>
  <si>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</si>
  <si>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</si>
  <si>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</si>
  <si>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</si>
  <si>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</si>
  <si>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</si>
  <si>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</si>
  <si>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</si>
  <si>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</si>
  <si>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</si>
  <si>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</si>
  <si>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</si>
  <si>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</si>
  <si>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</si>
  <si>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</si>
  <si>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</si>
  <si>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</si>
  <si>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</si>
  <si>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</si>
  <si>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</si>
  <si>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</si>
  <si>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</si>
  <si>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</si>
  <si>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</si>
  <si>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</si>
  <si>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</si>
  <si>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</si>
  <si>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</si>
  <si>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</si>
  <si>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</si>
  <si>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</si>
  <si>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</si>
  <si>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</si>
  <si>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</si>
  <si>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</si>
  <si>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</si>
  <si>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</si>
  <si>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</si>
  <si>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</si>
  <si>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</si>
  <si>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</si>
  <si>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</si>
  <si>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</si>
  <si>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</si>
  <si>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</si>
  <si>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</si>
  <si>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</si>
  <si>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</si>
  <si>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</si>
  <si>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</si>
  <si>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</si>
  <si>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</si>
  <si>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</si>
  <si>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</si>
  <si>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</si>
  <si>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</si>
  <si>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</si>
  <si>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</si>
  <si>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</si>
  <si>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</si>
  <si>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</si>
  <si>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</si>
  <si>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</si>
  <si>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</si>
  <si>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</si>
  <si>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</si>
  <si>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</si>
  <si>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</si>
  <si>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</si>
  <si>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</si>
  <si>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</si>
  <si>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</si>
  <si>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</si>
  <si>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</si>
  <si>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</si>
  <si>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</si>
  <si>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</si>
  <si>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</si>
  <si>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</si>
  <si>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</si>
  <si>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</si>
  <si>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</si>
  <si>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</si>
  <si>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</si>
  <si>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</si>
  <si>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</si>
  <si>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</si>
  <si>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</si>
  <si>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</si>
  <si>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</si>
  <si>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</si>
  <si>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</si>
  <si>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</si>
  <si>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</si>
  <si>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</si>
  <si>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</si>
  <si>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</si>
  <si>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</si>
  <si>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</si>
  <si>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</si>
  <si>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</si>
  <si>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</si>
  <si>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</si>
  <si>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</si>
  <si>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</si>
  <si>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</si>
  <si>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</si>
  <si>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</si>
  <si>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</si>
  <si>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</si>
  <si>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</si>
  <si>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</si>
  <si>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</si>
  <si>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</si>
  <si>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</si>
  <si>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</si>
  <si>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</si>
  <si>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</si>
  <si>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</si>
  <si>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</si>
  <si>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</si>
  <si>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</si>
  <si>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</si>
  <si>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</si>
  <si>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</si>
  <si>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</si>
  <si>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</si>
  <si>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</si>
  <si>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</si>
  <si>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</si>
  <si>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</si>
  <si>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</si>
  <si>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</si>
  <si>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</si>
  <si>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</si>
  <si>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</si>
  <si>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</si>
  <si>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</si>
  <si>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</si>
  <si>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</si>
  <si>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</si>
  <si>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</si>
  <si>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</si>
  <si>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</si>
  <si>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</si>
  <si>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</si>
  <si>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</si>
  <si>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</si>
  <si>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</si>
  <si>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</si>
  <si>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</si>
  <si>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</si>
  <si>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</si>
  <si>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</si>
  <si>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</si>
  <si>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</si>
  <si>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</si>
  <si>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</si>
  <si>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</si>
  <si>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</si>
  <si>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</si>
  <si>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</si>
  <si>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</si>
  <si>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</si>
  <si>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</si>
  <si>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</si>
  <si>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</si>
  <si>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</si>
  <si>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</si>
  <si>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</si>
  <si>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</si>
  <si>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</si>
  <si>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</si>
  <si>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</si>
  <si>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</si>
  <si>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</si>
  <si>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</si>
  <si>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</si>
  <si>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</si>
  <si>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</si>
  <si>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</si>
  <si>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</si>
  <si>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</si>
  <si>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</si>
  <si>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</si>
  <si>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</si>
  <si>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</si>
  <si>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</si>
  <si>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</si>
  <si>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</si>
  <si>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</si>
  <si>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</si>
  <si>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</si>
  <si>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</si>
  <si>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</si>
  <si>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</si>
  <si>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</si>
  <si>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</si>
  <si>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</si>
  <si>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</si>
  <si>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</si>
  <si>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</si>
  <si>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</si>
  <si>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</si>
  <si>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</si>
  <si>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</si>
  <si>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</si>
  <si>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</si>
  <si>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</si>
  <si>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</si>
  <si>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</si>
  <si>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</si>
  <si>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</si>
  <si>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</si>
  <si>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</si>
  <si>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</si>
  <si>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</si>
  <si>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</si>
  <si>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</si>
  <si>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</si>
  <si>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</si>
  <si>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</si>
  <si>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</si>
  <si>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</si>
  <si>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</si>
  <si>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</si>
  <si>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</si>
  <si>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</si>
  <si>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</si>
  <si>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</si>
  <si>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</si>
  <si>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</si>
  <si>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</si>
  <si>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</si>
  <si>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</si>
  <si>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</si>
  <si>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</si>
  <si>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</si>
  <si>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</si>
  <si>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</si>
  <si>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</si>
  <si>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</si>
  <si>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</si>
  <si>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</si>
  <si>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</si>
  <si>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</si>
  <si>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</si>
  <si>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</si>
  <si>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</si>
  <si>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</si>
  <si>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</si>
  <si>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</si>
  <si>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</si>
  <si>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</si>
  <si>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</si>
  <si>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</si>
  <si>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</si>
  <si>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</si>
  <si>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</si>
  <si>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</si>
  <si>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</si>
  <si>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</si>
  <si>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</si>
  <si>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</si>
  <si>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</si>
  <si>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</si>
  <si>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</si>
  <si>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</si>
  <si>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</si>
  <si>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</si>
  <si>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</si>
  <si>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</si>
  <si>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</si>
  <si>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</si>
  <si>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</si>
  <si>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</si>
  <si>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</si>
  <si>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</si>
  <si>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</si>
  <si>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</si>
  <si>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</si>
  <si>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</si>
  <si>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</si>
  <si>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</si>
  <si>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</si>
  <si>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</si>
  <si>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</si>
  <si>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</si>
  <si>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</si>
  <si>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</si>
  <si>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</si>
  <si>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</si>
  <si>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</si>
  <si>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</si>
  <si>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</si>
  <si>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</si>
  <si>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</si>
  <si>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</si>
  <si>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</si>
  <si>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</si>
  <si>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</si>
  <si>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</si>
  <si>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</si>
  <si>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</si>
  <si>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</si>
  <si>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</si>
  <si>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</si>
  <si>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</si>
  <si>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</si>
  <si>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</si>
  <si>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</si>
  <si>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</si>
  <si>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</si>
  <si>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</si>
  <si>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</si>
  <si>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</si>
  <si>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</si>
  <si>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</si>
  <si>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</si>
  <si>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</si>
  <si>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</si>
  <si>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</si>
  <si>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</si>
  <si>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</si>
  <si>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</si>
  <si>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</si>
  <si>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</si>
  <si>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</si>
  <si>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</si>
  <si>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</si>
  <si>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</si>
  <si>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</si>
  <si>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</si>
  <si>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</si>
  <si>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</si>
  <si>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</si>
  <si>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</si>
  <si>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</si>
  <si>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</si>
  <si>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</si>
  <si>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</si>
  <si>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</si>
  <si>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</si>
  <si>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</si>
  <si>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</si>
  <si>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</si>
  <si>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</si>
  <si>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</si>
  <si>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</si>
  <si>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</si>
  <si>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</si>
  <si>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</si>
  <si>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</si>
  <si>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</si>
  <si>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</si>
  <si>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</si>
  <si>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</si>
  <si>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</si>
  <si>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</si>
  <si>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</si>
  <si>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</si>
  <si>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</si>
  <si>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</si>
  <si>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</si>
  <si>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</si>
  <si>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</si>
  <si>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</si>
  <si>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</si>
  <si>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</si>
  <si>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</si>
  <si>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</si>
  <si>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</si>
  <si>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</si>
  <si>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</si>
  <si>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</si>
  <si>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</si>
  <si>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</si>
  <si>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</si>
  <si>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</si>
  <si>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</si>
  <si>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</si>
  <si>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</si>
  <si>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</si>
  <si>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</si>
  <si>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</si>
  <si>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</si>
  <si>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</si>
  <si>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</si>
  <si>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</si>
  <si>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</si>
  <si>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</si>
  <si>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</si>
  <si>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</si>
  <si>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</si>
  <si>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</si>
  <si>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</si>
  <si>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</si>
  <si>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</si>
  <si>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</si>
  <si>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</si>
  <si>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</si>
  <si>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</si>
  <si>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</si>
  <si>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</si>
  <si>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</si>
  <si>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</si>
  <si>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</si>
  <si>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</si>
  <si>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</si>
  <si>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</si>
  <si>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</si>
  <si>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</si>
  <si>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</si>
  <si>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</si>
  <si>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</si>
  <si>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</si>
  <si>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</si>
  <si>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</si>
  <si>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</si>
  <si>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</si>
  <si>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</si>
  <si>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</si>
  <si>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</si>
  <si>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</si>
  <si>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</si>
  <si>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</si>
  <si>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</si>
  <si>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</si>
  <si>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</si>
  <si>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</si>
  <si>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</si>
  <si>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</si>
  <si>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</si>
  <si>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</si>
  <si>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</si>
  <si>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</si>
  <si>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</si>
  <si>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</si>
  <si>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</si>
  <si>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</si>
  <si>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</si>
  <si>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</si>
  <si>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</si>
  <si>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</si>
  <si>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</si>
  <si>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</si>
  <si>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</si>
  <si>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</si>
  <si>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</si>
  <si>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</si>
  <si>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</si>
  <si>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</si>
  <si>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</si>
  <si>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</si>
  <si>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</si>
  <si>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</si>
  <si>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</si>
  <si>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</si>
  <si>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</si>
  <si>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</si>
  <si>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</si>
  <si>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</si>
  <si>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</si>
  <si>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</si>
  <si>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</si>
  <si>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</si>
  <si>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</si>
  <si>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</si>
  <si>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</si>
  <si>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</si>
  <si>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</si>
  <si>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</si>
  <si>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</si>
  <si>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</si>
  <si>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</si>
  <si>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</si>
  <si>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</si>
  <si>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</si>
  <si>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</si>
  <si>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</si>
  <si>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</si>
  <si>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</si>
  <si>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</si>
  <si>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</si>
  <si>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</si>
  <si>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</si>
  <si>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</si>
  <si>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</si>
  <si>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</si>
  <si>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</si>
  <si>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</si>
  <si>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</si>
  <si>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</si>
  <si>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</si>
  <si>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</si>
  <si>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</si>
  <si>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</si>
  <si>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</si>
  <si>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</si>
  <si>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</si>
  <si>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</si>
  <si>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</si>
  <si>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</si>
  <si>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</si>
  <si>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</si>
  <si>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</si>
  <si>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</si>
  <si>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</si>
  <si>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</si>
  <si>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</si>
  <si>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</si>
  <si>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</si>
  <si>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</si>
  <si>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</si>
  <si>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</si>
  <si>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</si>
  <si>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</si>
  <si>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</si>
  <si>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</si>
  <si>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</si>
  <si>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</si>
  <si>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</si>
  <si>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</si>
  <si>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</si>
  <si>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</si>
  <si>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</si>
  <si>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</si>
  <si>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</si>
  <si>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</si>
  <si>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</si>
  <si>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</si>
  <si>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</si>
  <si>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</si>
  <si>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</si>
  <si>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</si>
  <si>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</si>
  <si>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</si>
  <si>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</si>
  <si>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</si>
  <si>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</si>
  <si>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</si>
  <si>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</si>
  <si>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</si>
  <si>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</si>
  <si>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</si>
  <si>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</si>
  <si>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</si>
  <si>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</si>
  <si>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</si>
  <si>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</si>
  <si>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</si>
  <si>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</si>
  <si>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</si>
  <si>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</si>
  <si>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</si>
  <si>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</si>
  <si>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</si>
  <si>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</si>
  <si>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</si>
  <si>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</si>
  <si>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</si>
  <si>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</si>
  <si>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</si>
  <si>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</si>
  <si>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</si>
  <si>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</si>
  <si>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</si>
  <si>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</si>
  <si>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</si>
  <si>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</si>
  <si>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</si>
  <si>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</si>
  <si>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</si>
  <si>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</si>
  <si>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</si>
  <si>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</si>
  <si>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</si>
  <si>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</si>
  <si>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</si>
  <si>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</si>
  <si>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</si>
  <si>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</si>
  <si>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</si>
  <si>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</si>
  <si>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</si>
  <si>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</si>
  <si>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</si>
  <si>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</si>
  <si>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</si>
  <si>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</si>
  <si>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</si>
  <si>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</si>
  <si>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</si>
  <si>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</si>
  <si>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</si>
  <si>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</si>
  <si>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</si>
  <si>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</si>
  <si>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</si>
  <si>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</si>
  <si>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</si>
  <si>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</si>
  <si>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</si>
  <si>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</si>
  <si>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</si>
  <si>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</si>
  <si>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</si>
  <si>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</si>
  <si>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</si>
  <si>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</si>
  <si>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</si>
  <si>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</si>
  <si>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</si>
  <si>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</si>
  <si>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</si>
  <si>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</si>
  <si>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</si>
  <si>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</si>
  <si>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</si>
  <si>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</si>
  <si>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</si>
  <si>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</si>
  <si>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</si>
  <si>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</si>
  <si>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</si>
  <si>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</si>
  <si>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</si>
  <si>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</si>
  <si>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</si>
  <si>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</si>
  <si>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</si>
  <si>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</si>
  <si>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</si>
  <si>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</si>
  <si>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</si>
  <si>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</si>
  <si>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</si>
  <si>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</si>
  <si>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</si>
  <si>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</si>
  <si>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</si>
  <si>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</si>
  <si>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</si>
  <si>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</si>
  <si>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</si>
  <si>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</si>
  <si>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</si>
  <si>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</si>
  <si>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</si>
  <si>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</si>
  <si>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</si>
  <si>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</si>
  <si>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</si>
  <si>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</si>
  <si>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</si>
  <si>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</si>
  <si>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</si>
  <si>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</si>
  <si>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</si>
  <si>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</si>
  <si>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</si>
  <si>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</si>
  <si>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</si>
  <si>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</si>
  <si>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</si>
  <si>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</si>
  <si>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</si>
  <si>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</si>
  <si>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</si>
  <si>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</si>
  <si>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</si>
  <si>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</si>
  <si>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</si>
  <si>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</si>
  <si>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</si>
  <si>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</si>
  <si>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</si>
  <si>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</si>
  <si>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</si>
  <si>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</si>
  <si>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</si>
  <si>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</si>
  <si>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</si>
  <si>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</si>
  <si>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</si>
  <si>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</si>
  <si>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</si>
  <si>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</si>
  <si>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</si>
  <si>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</si>
  <si>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</si>
  <si>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</si>
  <si>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</si>
  <si>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</si>
  <si>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</si>
  <si>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</si>
  <si>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</si>
  <si>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</si>
  <si>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</si>
  <si>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</si>
  <si>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</si>
  <si>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</si>
  <si>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</si>
  <si>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</si>
  <si>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</si>
  <si>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</si>
  <si>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</si>
  <si>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</si>
  <si>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</si>
  <si>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</si>
  <si>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</si>
  <si>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</si>
  <si>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</si>
  <si>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</si>
  <si>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</si>
  <si>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</si>
  <si>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</si>
  <si>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</si>
  <si>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</si>
  <si>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</si>
  <si>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</si>
  <si>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</si>
  <si>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</si>
  <si>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</si>
  <si>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</si>
  <si>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</si>
  <si>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</si>
  <si>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</si>
  <si>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</si>
  <si>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</si>
  <si>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</si>
  <si>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</si>
  <si>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</si>
  <si>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</si>
  <si>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</si>
  <si>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</si>
  <si>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</si>
  <si>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</si>
  <si>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</si>
  <si>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</si>
  <si>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</si>
  <si>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</si>
  <si>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</si>
  <si>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</si>
  <si>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</si>
  <si>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</si>
  <si>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</si>
  <si>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</si>
  <si>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</si>
  <si>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</si>
  <si>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</si>
  <si>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</si>
  <si>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</si>
  <si>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</si>
  <si>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</si>
  <si>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</si>
  <si>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</si>
  <si>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</si>
  <si>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</si>
  <si>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</si>
  <si>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</si>
  <si>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</si>
  <si>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</si>
  <si>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</si>
  <si>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</si>
  <si>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</si>
  <si>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</si>
  <si>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</si>
  <si>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</si>
  <si>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</si>
  <si>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</si>
  <si>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</si>
  <si>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</si>
  <si>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</si>
  <si>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</si>
  <si>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</si>
  <si>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</si>
  <si>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</si>
  <si>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</si>
  <si>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</si>
  <si>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</si>
  <si>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</si>
  <si>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</si>
  <si>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</si>
  <si>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</si>
  <si>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</si>
  <si>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</si>
  <si>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</si>
  <si>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</si>
  <si>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</si>
  <si>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</si>
  <si>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</si>
  <si>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</si>
  <si>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</si>
  <si>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</si>
  <si>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</si>
  <si>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</si>
  <si>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</si>
  <si>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</si>
  <si>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</si>
  <si>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</si>
  <si>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</si>
  <si>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</si>
  <si>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</si>
  <si>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</si>
  <si>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</si>
  <si>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</si>
  <si>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</si>
  <si>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</si>
  <si>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</si>
  <si>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</si>
  <si>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</si>
  <si>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</si>
  <si>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</si>
  <si>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</si>
  <si>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</si>
  <si>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</si>
  <si>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</si>
  <si>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</si>
  <si>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</si>
  <si>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</si>
  <si>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</si>
  <si>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</si>
  <si>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</si>
  <si>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</si>
  <si>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</si>
  <si>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</si>
  <si>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</si>
  <si>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</si>
  <si>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</si>
  <si>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</si>
  <si>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</si>
  <si>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</si>
  <si>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</si>
  <si>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</si>
  <si>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</si>
  <si>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</si>
  <si>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</si>
  <si>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</si>
  <si>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</si>
  <si>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</si>
  <si>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</si>
  <si>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</si>
  <si>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</si>
  <si>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</si>
  <si>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</si>
  <si>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</si>
  <si>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</si>
  <si>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</si>
  <si>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</si>
  <si>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</si>
  <si>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</si>
  <si>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</si>
  <si>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</si>
  <si>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</si>
  <si>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</si>
  <si>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</si>
  <si>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</si>
  <si>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</si>
  <si>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</si>
  <si>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</si>
  <si>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</si>
  <si>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</si>
  <si>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</si>
  <si>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</si>
  <si>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</si>
  <si>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</si>
  <si>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</si>
  <si>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</si>
  <si>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</si>
  <si>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</si>
  <si>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</si>
  <si>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</si>
  <si>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</si>
  <si>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</si>
  <si>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</si>
  <si>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</si>
  <si>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</si>
  <si>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</si>
  <si>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</si>
  <si>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</si>
  <si>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</si>
  <si>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</si>
  <si>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</si>
  <si>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</si>
  <si>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</si>
  <si>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</si>
  <si>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</si>
  <si>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</si>
  <si>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</si>
  <si>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</si>
  <si>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</si>
  <si>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</si>
  <si>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</si>
  <si>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</si>
  <si>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</si>
  <si>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</si>
  <si>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</si>
  <si>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</si>
  <si>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</si>
  <si>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</si>
  <si>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</si>
  <si>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</si>
  <si>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</si>
  <si>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</si>
  <si>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</si>
  <si>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</si>
  <si>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</si>
  <si>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</si>
  <si>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</si>
  <si>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</si>
  <si>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</si>
  <si>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</si>
  <si>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</si>
  <si>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</si>
  <si>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</si>
  <si>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</si>
  <si>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</si>
  <si>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</si>
  <si>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</si>
  <si>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</si>
  <si>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</si>
  <si>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</si>
  <si>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</si>
  <si>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</si>
  <si>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</si>
  <si>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</si>
  <si>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</si>
  <si>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</si>
  <si>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</si>
  <si>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</si>
  <si>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</si>
  <si>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</si>
  <si>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</si>
  <si>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</si>
  <si>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</si>
  <si>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</si>
  <si>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</si>
  <si>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</si>
  <si>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</si>
  <si>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</si>
  <si>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</si>
  <si>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</si>
  <si>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</si>
  <si>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</si>
  <si>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</si>
  <si>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</si>
  <si>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</si>
  <si>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</si>
  <si>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</si>
  <si>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</si>
  <si>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</si>
  <si>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</si>
  <si>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</si>
  <si>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</si>
  <si>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</si>
  <si>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</si>
  <si>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</si>
  <si>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</si>
  <si>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</si>
  <si>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</si>
  <si>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</si>
  <si>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</si>
  <si>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</si>
  <si>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</si>
  <si>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</si>
  <si>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</si>
  <si>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</si>
  <si>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</si>
  <si>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</si>
  <si>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</si>
  <si>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</si>
  <si>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</si>
  <si>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</si>
  <si>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</si>
  <si>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</si>
  <si>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</si>
  <si>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</si>
  <si>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</si>
  <si>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</si>
  <si>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</si>
  <si>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</si>
  <si>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</si>
  <si>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</si>
  <si>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</si>
  <si>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</si>
  <si>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</si>
  <si>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</si>
  <si>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</si>
  <si>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</si>
  <si>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</si>
  <si>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</si>
  <si>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</si>
  <si>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</si>
  <si>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</si>
  <si>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</si>
  <si>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</si>
  <si>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</si>
  <si>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</si>
  <si>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</si>
  <si>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</si>
  <si>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</si>
  <si>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</si>
  <si>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</si>
  <si>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</si>
  <si>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</si>
  <si>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</si>
  <si>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</si>
  <si>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</si>
  <si>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</si>
  <si>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</si>
  <si>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</si>
  <si>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</si>
  <si>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</si>
  <si>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</si>
  <si>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</si>
  <si>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</si>
  <si>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</si>
  <si>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</si>
  <si>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</si>
  <si>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</si>
  <si>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</si>
  <si>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</si>
  <si>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</si>
  <si>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</si>
  <si>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</si>
  <si>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</si>
  <si>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</si>
  <si>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</si>
  <si>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</si>
  <si>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</si>
  <si>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</si>
  <si>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</si>
  <si>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</si>
  <si>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</si>
  <si>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</si>
  <si>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</si>
  <si>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</si>
  <si>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</si>
  <si>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</si>
  <si>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</si>
  <si>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</si>
  <si>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</si>
  <si>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</si>
  <si>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</si>
  <si>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</si>
  <si>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</si>
  <si>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</si>
  <si>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</si>
  <si>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</si>
  <si>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</si>
  <si>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</si>
  <si>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</si>
  <si>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</si>
  <si>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</si>
  <si>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</si>
  <si>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</si>
  <si>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</si>
  <si>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</si>
  <si>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</si>
  <si>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</si>
  <si>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</si>
  <si>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</si>
  <si>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</si>
  <si>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</si>
  <si>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</si>
  <si>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</si>
  <si>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</si>
  <si>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</si>
  <si>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</si>
  <si>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</si>
  <si>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</si>
  <si>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</si>
  <si>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</si>
  <si>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</si>
  <si>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</si>
  <si>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</si>
  <si>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</si>
  <si>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</si>
  <si>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</si>
  <si>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</si>
  <si>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</si>
  <si>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</si>
  <si>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</si>
  <si>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</si>
  <si>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</si>
  <si>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</si>
  <si>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</si>
  <si>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</si>
  <si>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</si>
  <si>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</si>
  <si>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</si>
  <si>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</si>
  <si>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</si>
  <si>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</si>
  <si>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</si>
  <si>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</si>
  <si>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</si>
  <si>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</si>
  <si>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</si>
  <si>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</si>
  <si>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</si>
  <si>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</si>
  <si>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</si>
  <si>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</si>
  <si>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</si>
  <si>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</si>
  <si>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</si>
  <si>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</si>
  <si>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</si>
  <si>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</si>
  <si>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</si>
  <si>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</si>
  <si>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</si>
  <si>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</si>
  <si>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</si>
  <si>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</si>
  <si>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</si>
  <si>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</si>
  <si>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</si>
  <si>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</si>
  <si>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</si>
  <si>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</si>
  <si>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</si>
  <si>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</si>
  <si>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</si>
  <si>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</si>
  <si>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</si>
  <si>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</si>
  <si>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</si>
  <si>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</si>
  <si>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</si>
  <si>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</si>
  <si>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</si>
  <si>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</si>
  <si>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</si>
  <si>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</si>
  <si>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</si>
  <si>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</si>
  <si>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</si>
  <si>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</si>
  <si>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</si>
  <si>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</si>
  <si>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</si>
  <si>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</si>
  <si>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</si>
  <si>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</si>
  <si>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</si>
  <si>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</si>
  <si>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</si>
  <si>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</si>
  <si>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</si>
  <si>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</si>
  <si>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</si>
  <si>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</si>
  <si>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</si>
  <si>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</si>
  <si>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</si>
  <si>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</si>
  <si>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</si>
  <si>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</si>
  <si>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</si>
  <si>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</si>
  <si>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</si>
  <si>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</si>
  <si>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</si>
  <si>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</si>
  <si>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</si>
  <si>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</si>
  <si>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</si>
  <si>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</si>
  <si>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</si>
  <si>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</si>
  <si>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</si>
  <si>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</si>
  <si>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</si>
  <si>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</si>
  <si>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</si>
  <si>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</si>
  <si>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</si>
  <si>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</si>
  <si>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</si>
  <si>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</si>
  <si>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</si>
  <si>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</si>
  <si>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</si>
  <si>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</si>
  <si>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</si>
  <si>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</si>
  <si>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</si>
  <si>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</si>
  <si>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</si>
  <si>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</si>
  <si>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</si>
  <si>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</si>
  <si>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</si>
  <si>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</si>
  <si>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</si>
  <si>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</si>
  <si>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</si>
  <si>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</si>
  <si>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</si>
  <si>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</si>
  <si>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</si>
  <si>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</si>
  <si>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</si>
  <si>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</si>
  <si>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</si>
  <si>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</si>
  <si>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</si>
  <si>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</si>
  <si>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</si>
  <si>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</si>
  <si>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</si>
  <si>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</si>
  <si>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</si>
  <si>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</si>
  <si>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</si>
  <si>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</si>
  <si>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</si>
  <si>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</si>
  <si>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</si>
  <si>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</si>
  <si>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</si>
  <si>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</si>
  <si>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</si>
  <si>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</si>
  <si>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</si>
  <si>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</si>
  <si>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</si>
  <si>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</si>
  <si>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</si>
  <si>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</si>
  <si>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</si>
  <si>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</si>
  <si>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</si>
  <si>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</si>
  <si>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</si>
  <si>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</si>
  <si>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</si>
  <si>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</si>
  <si>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</si>
  <si>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</si>
  <si>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</si>
  <si>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</si>
  <si>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</si>
  <si>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</si>
  <si>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</si>
  <si>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</si>
  <si>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</si>
  <si>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</si>
  <si>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</si>
  <si>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</si>
  <si>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</si>
  <si>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</si>
  <si>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</si>
  <si>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</si>
  <si>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</si>
  <si>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</si>
  <si>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</si>
  <si>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</si>
  <si>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</si>
  <si>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</si>
  <si>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</si>
  <si>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</si>
  <si>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</si>
  <si>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</si>
  <si>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</si>
  <si>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</si>
  <si>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</si>
  <si>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</si>
  <si>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</si>
  <si>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</si>
  <si>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</si>
  <si>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</si>
  <si>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</si>
  <si>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</si>
  <si>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</si>
  <si>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</si>
  <si>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</si>
  <si>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</si>
  <si>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</si>
  <si>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</si>
  <si>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</si>
  <si>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</si>
  <si>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</si>
  <si>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</si>
  <si>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</si>
  <si>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</si>
  <si>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</si>
  <si>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</si>
  <si>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</si>
  <si>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</si>
  <si>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</si>
  <si>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</si>
  <si>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</si>
  <si>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</si>
  <si>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</si>
  <si>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</si>
  <si>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</si>
  <si>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</si>
  <si>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</si>
  <si>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</si>
  <si>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</si>
  <si>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</si>
  <si>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</si>
  <si>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</si>
  <si>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</si>
  <si>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</si>
  <si>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</si>
  <si>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</si>
  <si>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</si>
  <si>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</si>
  <si>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</si>
  <si>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</si>
  <si>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</si>
  <si>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</si>
  <si>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</si>
  <si>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</si>
  <si>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</si>
  <si>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</si>
  <si>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</si>
  <si>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</si>
  <si>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</si>
  <si>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</si>
  <si>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</si>
  <si>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</si>
  <si>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</si>
  <si>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</si>
  <si>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</si>
  <si>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</si>
  <si>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</si>
  <si>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</si>
  <si>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</si>
  <si>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</si>
  <si>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</si>
  <si>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</si>
  <si>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</si>
  <si>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</si>
  <si>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</si>
  <si>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</si>
  <si>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</si>
  <si>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</si>
  <si>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</si>
  <si>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</si>
  <si>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</si>
  <si>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</si>
  <si>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</si>
  <si>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</si>
  <si>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</si>
  <si>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</si>
  <si>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</si>
  <si>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</si>
  <si>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</si>
  <si>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</si>
  <si>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</si>
  <si>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</si>
  <si>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</si>
  <si>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</si>
  <si>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</si>
  <si>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</si>
  <si>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</si>
  <si>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</si>
  <si>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</si>
  <si>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</si>
  <si>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</si>
  <si>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</si>
  <si>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</si>
  <si>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</si>
  <si>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</si>
  <si>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</si>
  <si>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</si>
  <si>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</si>
  <si>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</si>
  <si>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</si>
  <si>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</si>
  <si>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</si>
  <si>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</si>
  <si>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</si>
  <si>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</si>
  <si>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</si>
  <si>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</si>
  <si>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</si>
  <si>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</si>
  <si>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</si>
  <si>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</si>
  <si>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</si>
  <si>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</si>
  <si>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</si>
  <si>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</si>
  <si>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</si>
  <si>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</si>
  <si>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</si>
  <si>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</si>
  <si>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</si>
  <si>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</si>
  <si>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</si>
  <si>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</si>
  <si>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</si>
  <si>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</si>
  <si>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</si>
  <si>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</si>
  <si>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</si>
  <si>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</si>
  <si>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</si>
  <si>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</si>
  <si>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</si>
  <si>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</si>
  <si>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</si>
  <si>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</si>
  <si>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</si>
  <si>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</si>
  <si>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</si>
  <si>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</si>
  <si>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</si>
  <si>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</si>
  <si>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</si>
  <si>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</si>
  <si>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</si>
  <si>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</si>
  <si>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</si>
  <si>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</si>
  <si>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</si>
  <si>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</si>
  <si>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</si>
  <si>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</si>
  <si>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</si>
  <si>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</si>
  <si>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</si>
  <si>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</si>
  <si>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</si>
  <si>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</si>
  <si>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</si>
  <si>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</si>
  <si>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</si>
  <si>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</si>
  <si>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</si>
  <si>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</si>
  <si>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</si>
  <si>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</si>
  <si>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</si>
  <si>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</si>
  <si>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</si>
  <si>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</si>
  <si>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</si>
  <si>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</si>
  <si>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</si>
  <si>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</si>
  <si>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</si>
  <si>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</si>
  <si>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</si>
  <si>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</si>
  <si>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</si>
  <si>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</si>
  <si>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</si>
  <si>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</si>
  <si>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</si>
  <si>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</si>
  <si>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</si>
  <si>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</si>
  <si>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</si>
  <si>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</si>
  <si>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</si>
  <si>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</si>
  <si>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</si>
  <si>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</si>
  <si>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</si>
  <si>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</si>
  <si>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</si>
  <si>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</si>
  <si>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</si>
  <si>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</si>
  <si>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</si>
  <si>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</si>
  <si>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</si>
  <si>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</si>
  <si>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</si>
  <si>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</si>
  <si>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</si>
  <si>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</si>
  <si>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</si>
  <si>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</si>
  <si>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</si>
  <si>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</si>
  <si>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</si>
  <si>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</si>
  <si>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</si>
  <si>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</si>
  <si>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</si>
  <si>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</si>
  <si>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</si>
  <si>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</si>
  <si>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</si>
  <si>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</si>
  <si>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</si>
  <si>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</si>
  <si>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</si>
  <si>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</si>
  <si>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</si>
  <si>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</si>
  <si>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</si>
  <si>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</si>
  <si>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</si>
  <si>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</si>
  <si>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</si>
  <si>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</si>
  <si>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</si>
  <si>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</si>
  <si>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</si>
  <si>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</si>
  <si>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</si>
  <si>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</si>
  <si>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</si>
  <si>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</si>
  <si>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</si>
  <si>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</si>
  <si>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</si>
  <si>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</si>
  <si>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</si>
  <si>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</si>
  <si>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</si>
  <si>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</si>
  <si>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</si>
  <si>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</si>
  <si>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</si>
  <si>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</si>
  <si>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</si>
  <si>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</si>
  <si>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</si>
  <si>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</si>
  <si>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</si>
  <si>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</si>
  <si>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</si>
  <si>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</si>
  <si>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</si>
  <si>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</si>
  <si>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</si>
  <si>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</si>
  <si>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</si>
  <si>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</si>
  <si>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</si>
  <si>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</si>
  <si>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</si>
  <si>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</si>
  <si>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</si>
  <si>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</si>
  <si>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</si>
  <si>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</si>
  <si>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</si>
  <si>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</si>
  <si>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</si>
  <si>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</si>
  <si>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</si>
  <si>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</si>
  <si>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</si>
  <si>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</si>
  <si>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</si>
  <si>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</si>
  <si>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</si>
  <si>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</si>
  <si>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</si>
  <si>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</si>
  <si>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</si>
  <si>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</si>
  <si>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</si>
  <si>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</si>
  <si>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</si>
  <si>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</si>
  <si>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</si>
  <si>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</si>
  <si>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</si>
  <si>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</si>
  <si>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</si>
  <si>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</si>
  <si>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</si>
  <si>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</si>
  <si>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</si>
  <si>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</si>
  <si>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</si>
  <si>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</si>
  <si>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</si>
  <si>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</si>
  <si>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</si>
  <si>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</si>
  <si>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</si>
  <si>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</si>
  <si>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</si>
  <si>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</si>
  <si>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</si>
  <si>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</si>
  <si>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</si>
  <si>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</si>
  <si>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</si>
  <si>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</si>
  <si>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</si>
  <si>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</si>
  <si>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</si>
  <si>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</si>
  <si>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</si>
  <si>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</si>
  <si>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</si>
  <si>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</si>
  <si>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</si>
  <si>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</si>
  <si>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</si>
  <si>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</si>
  <si>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</si>
  <si>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</si>
  <si>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</si>
  <si>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</si>
  <si>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</si>
  <si>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</si>
  <si>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</si>
  <si>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</si>
  <si>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</si>
  <si>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</si>
  <si>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</si>
  <si>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</si>
  <si>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</si>
  <si>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</si>
  <si>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</si>
  <si>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</si>
  <si>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</si>
  <si>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</si>
  <si>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</si>
  <si>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</si>
  <si>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</si>
  <si>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</si>
  <si>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</si>
  <si>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</si>
  <si>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</si>
  <si>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</si>
  <si>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</si>
  <si>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</si>
  <si>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</si>
  <si>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</si>
  <si>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</si>
  <si>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</si>
  <si>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</si>
  <si>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</si>
  <si>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</si>
  <si>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</si>
  <si>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</si>
  <si>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</si>
  <si>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</si>
  <si>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</si>
  <si>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</si>
  <si>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</si>
  <si>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</si>
  <si>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</si>
  <si>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</si>
  <si>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</si>
  <si>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</si>
  <si>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</si>
  <si>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</si>
  <si>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</si>
  <si>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</si>
  <si>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</si>
  <si>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</si>
  <si>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</si>
  <si>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</si>
  <si>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</si>
  <si>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</si>
  <si>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</si>
  <si>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</si>
  <si>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</si>
  <si>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</si>
  <si>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</si>
  <si>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</si>
  <si>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</si>
  <si>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</si>
  <si>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</si>
  <si>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</si>
  <si>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</si>
  <si>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</si>
  <si>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</si>
  <si>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</si>
  <si>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</si>
  <si>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</si>
  <si>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</si>
  <si>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</si>
  <si>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</si>
  <si>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</si>
  <si>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</si>
  <si>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</si>
  <si>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</si>
  <si>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</si>
  <si>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</si>
  <si>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</si>
  <si>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</si>
  <si>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</si>
  <si>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</si>
  <si>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</si>
  <si>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</si>
  <si>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</si>
  <si>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</si>
  <si>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</si>
  <si>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</si>
  <si>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</si>
  <si>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</si>
  <si>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</si>
  <si>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</si>
  <si>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</si>
  <si>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</si>
  <si>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</si>
  <si>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</si>
  <si>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</si>
  <si>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</si>
  <si>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</si>
  <si>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</si>
  <si>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</si>
  <si>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</si>
  <si>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</si>
  <si>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</si>
  <si>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</si>
  <si>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</si>
  <si>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</si>
  <si>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</si>
  <si>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</si>
  <si>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</si>
  <si>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</si>
  <si>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</si>
  <si>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</si>
  <si>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</si>
  <si>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</si>
  <si>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</si>
  <si>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</si>
  <si>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</si>
  <si>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</si>
  <si>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</si>
  <si>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</si>
  <si>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</si>
  <si>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</si>
  <si>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</si>
  <si>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</si>
  <si>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</si>
  <si>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</si>
  <si>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</si>
  <si>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</si>
  <si>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</si>
  <si>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</si>
  <si>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</si>
  <si>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</si>
  <si>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</si>
  <si>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</si>
  <si>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</si>
  <si>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</si>
  <si>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</si>
  <si>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</si>
  <si>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</si>
  <si>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</si>
  <si>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</si>
  <si>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</si>
  <si>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</si>
  <si>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</si>
  <si>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</si>
  <si>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</si>
  <si>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</si>
  <si>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</si>
  <si>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</si>
  <si>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</si>
  <si>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</si>
  <si>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</si>
  <si>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</si>
  <si>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</si>
  <si>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</si>
  <si>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</si>
  <si>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</si>
  <si>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</si>
  <si>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</si>
  <si>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</si>
  <si>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</si>
  <si>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</si>
  <si>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</si>
  <si>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</si>
  <si>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</si>
  <si>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</si>
  <si>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</si>
  <si>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</si>
  <si>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</si>
  <si>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</si>
  <si>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</si>
  <si>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</si>
  <si>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</si>
  <si>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</si>
  <si>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</si>
  <si>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</si>
  <si>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</si>
  <si>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</si>
  <si>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</si>
  <si>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</si>
  <si>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</si>
  <si>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</si>
  <si>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</si>
  <si>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</si>
  <si>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</si>
  <si>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</si>
  <si>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</si>
  <si>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</si>
  <si>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</si>
  <si>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</si>
  <si>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</si>
  <si>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</si>
  <si>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</si>
  <si>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</si>
  <si>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</si>
  <si>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</si>
  <si>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</si>
  <si>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</si>
  <si>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</si>
  <si>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</si>
  <si>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</si>
  <si>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</si>
  <si>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</si>
  <si>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</si>
  <si>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</si>
  <si>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</si>
  <si>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</si>
  <si>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</si>
  <si>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</si>
  <si>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</si>
  <si>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</si>
  <si>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</si>
  <si>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</si>
  <si>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</si>
  <si>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</si>
  <si>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</si>
  <si>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</si>
  <si>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</si>
  <si>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</si>
  <si>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</si>
  <si>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</si>
  <si>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</si>
  <si>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</si>
  <si>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</si>
  <si>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</si>
  <si>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</si>
  <si>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</si>
  <si>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</si>
  <si>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</si>
  <si>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</si>
  <si>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</si>
  <si>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</si>
  <si>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</si>
  <si>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</si>
  <si>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</si>
  <si>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</si>
  <si>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</si>
  <si>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</si>
  <si>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</si>
  <si>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</si>
  <si>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</si>
  <si>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</si>
  <si>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</si>
  <si>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</si>
  <si>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</si>
  <si>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</si>
  <si>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</si>
  <si>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</si>
  <si>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</si>
  <si>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</si>
  <si>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</si>
  <si>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</si>
  <si>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</si>
  <si>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</si>
  <si>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</si>
  <si>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</si>
  <si>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</si>
  <si>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</si>
  <si>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</si>
  <si>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</si>
  <si>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</si>
  <si>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</si>
  <si>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</si>
  <si>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</si>
  <si>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</si>
  <si>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</si>
  <si>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</si>
  <si>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</si>
  <si>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</si>
  <si>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</si>
  <si>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</si>
  <si>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</si>
  <si>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</si>
  <si>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</si>
  <si>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</si>
  <si>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</si>
  <si>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</si>
  <si>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</si>
  <si>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</si>
  <si>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</si>
  <si>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</si>
  <si>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</si>
  <si>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</si>
  <si>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</si>
  <si>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</si>
  <si>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</si>
  <si>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</si>
  <si>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</si>
  <si>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</si>
  <si>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</si>
  <si>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</si>
  <si>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</si>
  <si>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</si>
  <si>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</si>
  <si>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</si>
  <si>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</si>
  <si>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</si>
  <si>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</si>
  <si>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</si>
  <si>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</si>
  <si>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</si>
  <si>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</si>
  <si>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</si>
  <si>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</si>
  <si>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</si>
  <si>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</si>
  <si>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</si>
  <si>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</si>
  <si>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</si>
  <si>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</si>
  <si>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</si>
  <si>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</si>
  <si>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</si>
  <si>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</si>
  <si>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</si>
  <si>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</si>
  <si>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</si>
  <si>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</si>
  <si>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</si>
  <si>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</si>
  <si>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</si>
  <si>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</si>
  <si>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</si>
  <si>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</si>
  <si>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</si>
  <si>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</si>
  <si>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</si>
  <si>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</si>
  <si>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</si>
  <si>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</si>
  <si>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</si>
  <si>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</si>
  <si>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</si>
  <si>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</si>
  <si>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</si>
  <si>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</si>
  <si>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</si>
  <si>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</si>
  <si>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</si>
  <si>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</si>
  <si>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</si>
  <si>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</si>
  <si>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</si>
  <si>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</si>
  <si>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</si>
  <si>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</si>
  <si>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</si>
  <si>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</si>
  <si>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</si>
  <si>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</si>
  <si>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</si>
  <si>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</si>
  <si>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</si>
  <si>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</si>
  <si>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</si>
  <si>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</si>
  <si>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</si>
  <si>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</si>
  <si>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</si>
  <si>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</si>
  <si>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</si>
  <si>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</si>
  <si>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</si>
  <si>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</si>
  <si>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</si>
  <si>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</si>
  <si>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</si>
  <si>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</si>
  <si>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</si>
  <si>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</si>
  <si>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</si>
  <si>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</si>
  <si>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</si>
  <si>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</si>
  <si>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</si>
  <si>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</si>
  <si>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</si>
  <si>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</si>
  <si>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</si>
  <si>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</si>
  <si>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</si>
  <si>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</si>
  <si>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</si>
  <si>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</si>
  <si>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</si>
  <si>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</si>
  <si>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</si>
  <si>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</si>
  <si>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</si>
  <si>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</si>
  <si>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</si>
  <si>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</si>
  <si>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</si>
  <si>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</si>
  <si>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</si>
  <si>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</si>
  <si>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</si>
  <si>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</si>
  <si>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</si>
  <si>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</si>
  <si>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</si>
  <si>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</si>
  <si>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</si>
  <si>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</si>
  <si>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</si>
  <si>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</si>
  <si>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</si>
  <si>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</si>
  <si>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</si>
  <si>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</si>
  <si>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</si>
  <si>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</si>
  <si>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</si>
  <si>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</si>
  <si>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</si>
  <si>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</si>
  <si>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</si>
  <si>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</si>
  <si>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</si>
  <si>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</si>
  <si>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</si>
  <si>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</si>
  <si>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</si>
  <si>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</si>
  <si>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</si>
  <si>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</si>
  <si>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</si>
  <si>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</si>
  <si>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</si>
  <si>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</si>
  <si>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</si>
  <si>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</si>
  <si>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</si>
  <si>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</si>
  <si>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</si>
  <si>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</si>
  <si>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</si>
  <si>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</si>
  <si>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</si>
  <si>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</si>
  <si>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</si>
  <si>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</si>
  <si>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</si>
  <si>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</si>
  <si>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</si>
  <si>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</si>
  <si>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</si>
  <si>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</si>
  <si>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</si>
  <si>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</si>
  <si>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</si>
  <si>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</si>
  <si>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</si>
  <si>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</si>
  <si>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</si>
  <si>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</si>
  <si>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</si>
  <si>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</si>
  <si>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</si>
  <si>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</si>
  <si>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</si>
  <si>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</si>
  <si>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</si>
  <si>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</si>
  <si>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</si>
  <si>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</si>
  <si>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</si>
  <si>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</si>
  <si>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</si>
  <si>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</si>
  <si>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</si>
  <si>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</si>
  <si>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</si>
  <si>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</si>
  <si>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</si>
  <si>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</si>
  <si>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</si>
  <si>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</si>
  <si>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</si>
  <si>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</si>
  <si>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</si>
  <si>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</si>
  <si>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</si>
  <si>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</si>
  <si>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</si>
  <si>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</si>
  <si>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</si>
  <si>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</si>
  <si>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</si>
  <si>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</si>
  <si>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</si>
  <si>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</si>
  <si>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</si>
  <si>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</si>
  <si>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</si>
  <si>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</si>
  <si>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</si>
  <si>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</si>
  <si>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</si>
  <si>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</si>
  <si>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</si>
  <si>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</si>
  <si>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</si>
  <si>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</si>
  <si>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</si>
  <si>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</si>
  <si>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</si>
  <si>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</si>
  <si>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</si>
  <si>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</si>
  <si>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</si>
  <si>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</si>
  <si>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</si>
  <si>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</si>
  <si>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</si>
  <si>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</si>
  <si>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</si>
  <si>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</si>
  <si>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</si>
  <si>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</si>
  <si>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</si>
  <si>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</si>
  <si>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</si>
  <si>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</si>
  <si>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</si>
  <si>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</si>
  <si>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</si>
  <si>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</si>
  <si>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</si>
  <si>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</si>
  <si>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</si>
  <si>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</si>
  <si>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</si>
  <si>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</si>
  <si>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</si>
  <si>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</si>
  <si>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</si>
  <si>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</si>
  <si>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</si>
  <si>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</si>
  <si>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</si>
  <si>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</si>
  <si>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</si>
  <si>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</si>
  <si>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</si>
  <si>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</si>
  <si>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</si>
  <si>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</si>
  <si>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</si>
  <si>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</si>
  <si>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</si>
  <si>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</si>
  <si>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</si>
  <si>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</si>
  <si>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</si>
  <si>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</si>
  <si>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</si>
  <si>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</si>
  <si>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</si>
  <si>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</si>
  <si>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</si>
  <si>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</si>
  <si>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</si>
  <si>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</si>
  <si>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</si>
  <si>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</si>
  <si>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</si>
  <si>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</si>
  <si>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</si>
  <si>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</si>
  <si>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</si>
  <si>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</si>
  <si>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</si>
  <si>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</si>
  <si>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</si>
  <si>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</si>
  <si>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</si>
  <si>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</si>
  <si>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</si>
  <si>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</si>
  <si>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</si>
  <si>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</si>
  <si>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</si>
  <si>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</si>
  <si>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</si>
  <si>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</si>
  <si>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</si>
  <si>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</si>
  <si>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</si>
  <si>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</si>
  <si>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</si>
  <si>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</si>
  <si>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</si>
  <si>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</si>
  <si>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</si>
  <si>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</si>
  <si>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</si>
  <si>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</si>
  <si>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</si>
  <si>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</si>
  <si>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</si>
  <si>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</si>
  <si>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</si>
  <si>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</si>
  <si>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</si>
  <si>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</si>
  <si>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</si>
  <si>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</si>
  <si>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</si>
  <si>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</si>
  <si>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</si>
  <si>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</si>
  <si>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</si>
  <si>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</si>
  <si>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</si>
  <si>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</si>
  <si>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</si>
  <si>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</si>
  <si>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</si>
  <si>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</si>
  <si>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</si>
  <si>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</si>
  <si>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</si>
  <si>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</si>
  <si>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</si>
  <si>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</si>
  <si>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</si>
  <si>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</si>
  <si>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</si>
  <si>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</si>
  <si>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</si>
  <si>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</si>
  <si>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</si>
  <si>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</si>
  <si>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</si>
  <si>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</si>
  <si>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</si>
  <si>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</si>
  <si>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</si>
  <si>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</si>
  <si>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</si>
  <si>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</si>
  <si>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</si>
  <si>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</si>
  <si>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</si>
  <si>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</si>
  <si>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</si>
  <si>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</si>
  <si>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</si>
  <si>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</si>
  <si>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</si>
  <si>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</si>
  <si>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</si>
  <si>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</si>
  <si>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</si>
  <si>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</si>
  <si>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</si>
  <si>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</si>
  <si>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</si>
  <si>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</si>
  <si>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</si>
  <si>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</si>
  <si>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</si>
  <si>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</si>
  <si>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</si>
  <si>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</si>
  <si>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</si>
  <si>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</si>
  <si>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</si>
  <si>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</si>
  <si>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</si>
  <si>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</si>
  <si>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</si>
  <si>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</si>
  <si>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</si>
  <si>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</si>
  <si>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</si>
  <si>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</si>
  <si>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</si>
  <si>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</si>
  <si>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</si>
  <si>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</si>
  <si>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</si>
  <si>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</si>
  <si>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</si>
  <si>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</si>
  <si>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</si>
  <si>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</si>
  <si>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</si>
  <si>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</si>
  <si>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</si>
  <si>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</si>
  <si>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</si>
  <si>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</si>
  <si>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</si>
  <si>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</si>
  <si>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</si>
  <si>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</si>
  <si>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</si>
  <si>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</si>
  <si>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</si>
  <si>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</si>
  <si>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</si>
  <si>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</si>
  <si>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</si>
  <si>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</si>
  <si>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</si>
  <si>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</si>
  <si>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</si>
  <si>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</si>
  <si>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</si>
  <si>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</si>
  <si>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</si>
  <si>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</si>
  <si>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</si>
  <si>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</si>
  <si>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</si>
  <si>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</si>
  <si>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</si>
  <si>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</si>
  <si>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</si>
  <si>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</si>
  <si>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</si>
  <si>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</si>
  <si>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</si>
  <si>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</si>
  <si>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</si>
  <si>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</si>
  <si>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</si>
  <si>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</si>
  <si>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</si>
  <si>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</si>
  <si>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</si>
  <si>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</si>
  <si>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</si>
  <si>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</si>
  <si>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</si>
  <si>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</si>
  <si>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</si>
  <si>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</si>
  <si>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</si>
  <si>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</si>
  <si>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</si>
  <si>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</si>
  <si>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</si>
  <si>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</si>
  <si>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</si>
  <si>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</si>
  <si>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</si>
  <si>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</si>
  <si>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</si>
  <si>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</si>
  <si>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</si>
  <si>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</si>
  <si>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</si>
  <si>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</si>
  <si>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</si>
  <si>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</si>
  <si>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</si>
  <si>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</si>
  <si>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</si>
  <si>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</si>
  <si>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</si>
  <si>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</si>
  <si>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</si>
  <si>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</si>
  <si>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</si>
  <si>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</si>
  <si>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</si>
  <si>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</si>
  <si>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</si>
  <si>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</si>
  <si>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</si>
  <si>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</si>
  <si>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</si>
  <si>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</si>
  <si>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</si>
  <si>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</si>
  <si>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</si>
  <si>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</si>
  <si>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</si>
  <si>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</si>
  <si>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</si>
  <si>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</si>
  <si>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</si>
  <si>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</si>
  <si>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</si>
  <si>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</si>
  <si>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</si>
  <si>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</si>
  <si>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</si>
  <si>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</si>
  <si>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</si>
  <si>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</si>
  <si>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</si>
  <si>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</si>
  <si>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</si>
  <si>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</si>
  <si>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</si>
  <si>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</si>
  <si>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</si>
  <si>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</si>
  <si>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</si>
  <si>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</si>
  <si>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</si>
  <si>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</si>
  <si>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</si>
  <si>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</si>
  <si>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</si>
  <si>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</si>
  <si>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</si>
  <si>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</si>
  <si>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</si>
  <si>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</si>
  <si>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</si>
  <si>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</si>
  <si>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</si>
  <si>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</si>
  <si>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</si>
  <si>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</si>
  <si>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</si>
  <si>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</si>
  <si>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</si>
  <si>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</si>
  <si>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</si>
  <si>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</si>
  <si>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</si>
  <si>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</si>
  <si>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</si>
  <si>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</si>
  <si>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</si>
  <si>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</si>
  <si>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</si>
  <si>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</si>
  <si>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</si>
  <si>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</si>
  <si>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</si>
  <si>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</si>
  <si>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</si>
  <si>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</si>
  <si>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</si>
  <si>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</si>
  <si>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</si>
  <si>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</si>
  <si>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</si>
  <si>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</si>
  <si>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</si>
  <si>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</si>
  <si>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</si>
  <si>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</si>
  <si>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</si>
  <si>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</si>
  <si>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</si>
  <si>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</si>
  <si>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</si>
  <si>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</si>
  <si>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</si>
  <si>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</si>
  <si>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</si>
  <si>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</si>
  <si>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</si>
  <si>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</si>
  <si>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</si>
  <si>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</si>
  <si>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</si>
  <si>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</si>
  <si>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</si>
  <si>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</si>
  <si>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</si>
  <si>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</si>
  <si>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</si>
  <si>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</si>
  <si>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</si>
  <si>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</si>
  <si>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</si>
  <si>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</si>
  <si>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</si>
  <si>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</si>
  <si>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</si>
  <si>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</si>
  <si>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</si>
  <si>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</si>
  <si>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</si>
  <si>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</si>
  <si>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</si>
  <si>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</si>
  <si>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</si>
  <si>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</si>
  <si>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</si>
  <si>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</si>
  <si>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</si>
  <si>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</si>
  <si>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</si>
  <si>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</si>
  <si>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</si>
  <si>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</si>
  <si>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</si>
  <si>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</si>
  <si>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</si>
  <si>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</si>
  <si>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</si>
  <si>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</si>
  <si>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</si>
  <si>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</si>
  <si>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</si>
  <si>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</si>
  <si>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</si>
  <si>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</si>
  <si>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</si>
  <si>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</si>
  <si>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</si>
  <si>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</si>
  <si>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</si>
  <si>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</si>
  <si>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</si>
  <si>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</si>
  <si>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</si>
  <si>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</si>
  <si>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</si>
  <si>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</si>
  <si>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</si>
  <si>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</si>
  <si>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</si>
  <si>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</si>
  <si>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</si>
  <si>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</si>
  <si>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</si>
  <si>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</si>
  <si>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</si>
  <si>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</si>
  <si>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</si>
  <si>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</si>
  <si>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</si>
  <si>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</si>
  <si>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</si>
  <si>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</si>
  <si>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</si>
  <si>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</si>
  <si>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</si>
  <si>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</si>
  <si>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</si>
  <si>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</si>
  <si>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</si>
  <si>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</si>
  <si>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</si>
  <si>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</si>
  <si>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</si>
  <si>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2026-02-06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</si>
  <si>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</si>
  <si>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</si>
  <si>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</si>
  <si>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</si>
  <si>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</si>
  <si>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</si>
  <si>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농협 3520106511413</t>
    <phoneticPr fontId="2" type="noConversion"/>
  </si>
  <si>
    <t>8HP70_EGS</t>
  </si>
  <si>
    <t>케이(대전)</t>
    <phoneticPr fontId="2" type="noConversion"/>
  </si>
  <si>
    <t>대전 서구 도산로 467</t>
    <phoneticPr fontId="2" type="noConversion"/>
  </si>
  <si>
    <t>010-4933-7879</t>
    <phoneticPr fontId="2" type="noConversion"/>
  </si>
  <si>
    <t>8HP70_EGS</t>
    <phoneticPr fontId="2" type="noConversion"/>
  </si>
  <si>
    <t>케이(대전)_260206_174005.xlsx</t>
  </si>
  <si>
    <t>케이(대전)_260206_174005.xlsx</t>
    <phoneticPr fontId="2" type="noConversion"/>
  </si>
  <si>
    <t>케이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</si>
</sst>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0</c:v>
                </c:pt>
                <c:pt idx="2">
                  <c:v>460000</c:v>
                </c:pt>
                <c:pt idx="3">
                  <c:v>4250000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18</c:v>
                      </c:pt>
                      <c:pt idx="2">
                        <c:v>10</c:v>
                      </c:pt>
                      <c:pt idx="3">
                        <c:v>1</c:v>
                      </c:pt>
                      <c:pt idx="4">
                        <c:v>18</c:v>
                      </c:pt>
                      <c:pt idx="5">
                        <c:v>18</c:v>
                      </c:pt>
                      <c:pt idx="6">
                        <c:v>18</c:v>
                      </c:pt>
                      <c:pt idx="7">
                        <c:v>18</c:v>
                      </c:pt>
                      <c:pt idx="8">
                        <c:v>18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5073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46059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5075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5076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5077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5078</v>
      </c>
      <c r="B8" s="433"/>
      <c r="C8" s="433"/>
      <c r="D8" s="433"/>
      <c r="E8" s="434"/>
      <c r="F8" s="435"/>
      <c r="G8" s="436"/>
      <c r="H8" s="436"/>
      <c r="I8" s="437"/>
      <c r="J8" s="443">
        <v>1000000</v>
      </c>
      <c r="K8" s="443"/>
      <c r="L8" s="443"/>
      <c r="M8" s="443"/>
      <c r="N8" s="443"/>
      <c r="O8" s="444">
        <v>1</v>
      </c>
      <c r="P8" s="444"/>
      <c r="Q8" s="438">
        <v>100000</v>
      </c>
      <c r="R8" s="439"/>
      <c r="S8" s="440"/>
      <c r="T8" s="441">
        <v>1100000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/>
      <c r="G20" s="327"/>
      <c r="H20" s="327"/>
      <c r="I20" s="328"/>
      <c r="J20" s="364">
        <f>SUM(J8:N19)</f>
        <v>1000000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100000</v>
      </c>
      <c r="R20" s="327"/>
      <c r="S20" s="328"/>
      <c r="T20" s="327">
        <f>SUM(T8:U15)</f>
        <v>1100000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1100000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케이(대전)</v>
      </c>
      <c r="R21" s="335"/>
      <c r="S21" s="335"/>
      <c r="T21" s="335"/>
      <c r="U21" s="387"/>
    </row>
    <row r="22" spans="1:21" ht="20.100000000000001" customHeight="1" x14ac:dyDescent="0.3">
      <c r="A22" s="314" t="s">
        <v>5080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농협 3520106511413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46059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케이(대전)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대전 서구 도산로 467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010-4933-7879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경동(택배)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8HP70_EGS</v>
      </c>
      <c r="B31" s="382"/>
      <c r="C31" s="382"/>
      <c r="D31" s="382"/>
      <c r="E31" s="382"/>
      <c r="F31" s="382">
        <f>F8</f>
        <v>0</v>
      </c>
      <c r="G31" s="382"/>
      <c r="H31" s="382"/>
      <c r="I31" s="382"/>
      <c r="J31" s="386">
        <f>J8</f>
        <v>1000000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100000</v>
      </c>
      <c r="R31" s="383"/>
      <c r="S31" s="383"/>
      <c r="T31" s="384">
        <f>T8</f>
        <v>1100000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1000000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100000</v>
      </c>
      <c r="R43" s="327"/>
      <c r="S43" s="327"/>
      <c r="T43" s="327">
        <f>T20</f>
        <v>1100000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1100000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케이(대전)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1000000</v>
      </c>
      <c r="H1" s="107">
        <f>SUM(H2:H2)</f>
        <v>1</v>
      </c>
      <c r="I1" s="107">
        <f>SUM(I2:I2)</f>
        <v>100000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5066</v>
      </c>
      <c r="C2" s="47" t="s">
        <v>5069</v>
      </c>
      <c r="E2" t="s">
        <v>5074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64"/>
  <sheetViews>
    <sheetView workbookViewId="0">
      <pane xSplit="1" ySplit="1" topLeftCell="B2932" activePane="bottomRight" state="frozen"/>
      <selection activeCell="N26" sqref="N26"/>
      <selection pane="topRight" activeCell="N26" sqref="N26"/>
      <selection pane="bottomLeft" activeCell="N26" sqref="N26"/>
      <selection pane="bottomRight" activeCell="N2957" sqref="N295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2965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5048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5054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5055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5061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5063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5065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5069</v>
      </c>
      <c r="E2963" s="292" t="s">
        <v>5074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5069</v>
      </c>
      <c r="E2964" s="292" t="s">
        <v>5081</v>
      </c>
      <c r="L2964" s="265">
        <v>-1100000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8" sqref="F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46059</v>
      </c>
      <c r="B3" s="235" t="s">
        <v>1123</v>
      </c>
      <c r="C3" s="286">
        <f>SUMIF($B:$B,A3,I:I)</f>
        <v>4600000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18930000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5054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5055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5065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5069</v>
      </c>
      <c r="D53" s="113" t="s">
        <v>5074</v>
      </c>
      <c r="F53" s="120">
        <v>1000000</v>
      </c>
      <c r="G53" s="85">
        <v>1</v>
      </c>
      <c r="H53" s="126">
        <v>100000</v>
      </c>
      <c r="I53" s="80">
        <v>1100000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1350000</v>
      </c>
      <c r="D2" s="58">
        <f t="shared" ref="D2:D65" si="0">RANK(C2,C:C,0)</f>
        <v>5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18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10</v>
      </c>
    </row>
    <row r="5" spans="1:6" x14ac:dyDescent="0.3">
      <c r="B5" s="58" t="s">
        <v>1327</v>
      </c>
      <c r="C5" s="301">
        <f>SUMIF(BTS_매출관리!C:C,B5,BTS_매출관리!I:I)</f>
        <v>4250000</v>
      </c>
      <c r="D5" s="58">
        <f t="shared" si="0"/>
        <v>1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18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18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18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18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18</v>
      </c>
    </row>
    <row r="11" spans="1:6" x14ac:dyDescent="0.3">
      <c r="B11" s="58" t="s">
        <v>1324</v>
      </c>
      <c r="C11" s="301">
        <f>SUMIF(BTS_매출관리!C:C,B11,BTS_매출관리!I:I)</f>
        <v>450000</v>
      </c>
      <c r="D11" s="58">
        <f t="shared" si="0"/>
        <v>11</v>
      </c>
    </row>
    <row r="12" spans="1:6" x14ac:dyDescent="0.3">
      <c r="B12" s="58" t="s">
        <v>1325</v>
      </c>
      <c r="C12" s="301">
        <f>SUMIF(BTS_매출관리!C:C,B12,BTS_매출관리!I:I)</f>
        <v>710000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18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18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18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18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18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18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18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18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18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18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18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220000</v>
      </c>
      <c r="D25" s="58">
        <f t="shared" si="0"/>
        <v>14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18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18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18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18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13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18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18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18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18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18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18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1100000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18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18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18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18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18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18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110000</v>
      </c>
      <c r="D44" s="58">
        <f t="shared" si="0"/>
        <v>16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18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18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18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18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18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2680000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18</v>
      </c>
    </row>
    <row r="52" spans="2:7" x14ac:dyDescent="0.3">
      <c r="B52" t="s">
        <v>3256</v>
      </c>
      <c r="C52" s="300">
        <f>SUMIF(BTS_매출관리!C:C,B52,BTS_매출관리!I:I)</f>
        <v>1300000</v>
      </c>
      <c r="D52">
        <f t="shared" si="0"/>
        <v>6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18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18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18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18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3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18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18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50000</v>
      </c>
      <c r="D61" s="47">
        <f t="shared" si="0"/>
        <v>17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18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18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18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18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18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18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18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18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18</v>
      </c>
    </row>
    <row r="71" spans="2:4" x14ac:dyDescent="0.3">
      <c r="B71" s="47" t="s">
        <v>1290</v>
      </c>
      <c r="C71" s="302">
        <f>SUMIF(BTS_매출관리!C:C,B71,BTS_매출관리!I:I)</f>
        <v>1600000</v>
      </c>
      <c r="D71" s="47">
        <f t="shared" si="1"/>
        <v>4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18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18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18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18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18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18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18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18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18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18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18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18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18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18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18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18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18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18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18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18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18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18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18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18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18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18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18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18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18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18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18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18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18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18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18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18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18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18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18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18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11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18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18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18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18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18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18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18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18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18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18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18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18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18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18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18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18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18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18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18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18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18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18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18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18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18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18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18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18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18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18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18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18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18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18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18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18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18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18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18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18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18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18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18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18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18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18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18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18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18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18</v>
      </c>
    </row>
    <row r="163" spans="2:4" x14ac:dyDescent="0.3">
      <c r="B163" t="s">
        <v>1277</v>
      </c>
      <c r="C163" s="52">
        <f>SUMIF(BTS_매출관리!C:C,B163,BTS_매출관리!I:I)</f>
        <v>200000</v>
      </c>
      <c r="D163">
        <f t="shared" si="2"/>
        <v>15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18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18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18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18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18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18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18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18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18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18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18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18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18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18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18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18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18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18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18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18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18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18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18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18</v>
      </c>
    </row>
    <row r="188" spans="2:4" x14ac:dyDescent="0.3">
      <c r="C188" s="52">
        <f>SUMIF(BTS_매출관리!C:C,B188,BTS_매출관리!I:I)</f>
        <v>0</v>
      </c>
      <c r="D188">
        <f t="shared" si="2"/>
        <v>18</v>
      </c>
    </row>
    <row r="189" spans="2:4" x14ac:dyDescent="0.3">
      <c r="C189" s="52">
        <f>SUMIF(BTS_매출관리!C:C,B189,BTS_매출관리!I:I)</f>
        <v>0</v>
      </c>
      <c r="D189">
        <f t="shared" si="2"/>
        <v>18</v>
      </c>
    </row>
    <row r="190" spans="2:4" x14ac:dyDescent="0.3">
      <c r="C190" s="52">
        <f>SUMIF(BTS_매출관리!C:C,B190,BTS_매출관리!I:I)</f>
        <v>0</v>
      </c>
      <c r="D190">
        <f t="shared" si="2"/>
        <v>18</v>
      </c>
    </row>
    <row r="191" spans="2:4" x14ac:dyDescent="0.3">
      <c r="C191" s="52">
        <f>SUMIF(BTS_매출관리!C:C,B191,BTS_매출관리!I:I)</f>
        <v>0</v>
      </c>
      <c r="D191">
        <f t="shared" si="2"/>
        <v>18</v>
      </c>
    </row>
    <row r="192" spans="2:4" x14ac:dyDescent="0.3">
      <c r="C192" s="52">
        <f>SUMIF(BTS_매출관리!C:C,B192,BTS_매출관리!I:I)</f>
        <v>0</v>
      </c>
      <c r="D192">
        <f t="shared" si="2"/>
        <v>18</v>
      </c>
    </row>
    <row r="193" spans="3:4" x14ac:dyDescent="0.3">
      <c r="C193" s="52">
        <f>SUMIF(BTS_매출관리!C:C,B193,BTS_매출관리!I:I)</f>
        <v>0</v>
      </c>
      <c r="D193">
        <f t="shared" si="2"/>
        <v>18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18</v>
      </c>
    </row>
    <row r="195" spans="3:4" x14ac:dyDescent="0.3">
      <c r="C195" s="52">
        <f>SUMIF(BTS_매출관리!C:C,B195,BTS_매출관리!I:I)</f>
        <v>0</v>
      </c>
      <c r="D195">
        <f t="shared" si="3"/>
        <v>18</v>
      </c>
    </row>
    <row r="196" spans="3:4" x14ac:dyDescent="0.3">
      <c r="C196" s="52">
        <f>SUMIF(BTS_매출관리!C:C,B196,BTS_매출관리!I:I)</f>
        <v>0</v>
      </c>
      <c r="D196">
        <f t="shared" si="3"/>
        <v>18</v>
      </c>
    </row>
    <row r="197" spans="3:4" x14ac:dyDescent="0.3">
      <c r="C197" s="52">
        <f>SUMIF(BTS_매출관리!C:C,B197,BTS_매출관리!I:I)</f>
        <v>0</v>
      </c>
      <c r="D197">
        <f t="shared" si="3"/>
        <v>18</v>
      </c>
    </row>
    <row r="198" spans="3:4" x14ac:dyDescent="0.3">
      <c r="C198" s="52">
        <f>SUMIF(BTS_매출관리!C:C,B198,BTS_매출관리!I:I)</f>
        <v>0</v>
      </c>
      <c r="D198">
        <f t="shared" si="3"/>
        <v>18</v>
      </c>
    </row>
    <row r="199" spans="3:4" x14ac:dyDescent="0.3">
      <c r="C199" s="52">
        <f>SUMIF(BTS_매출관리!C:C,B199,BTS_매출관리!I:I)</f>
        <v>0</v>
      </c>
      <c r="D199">
        <f t="shared" si="3"/>
        <v>18</v>
      </c>
    </row>
    <row r="200" spans="3:4" x14ac:dyDescent="0.3">
      <c r="C200" s="52">
        <f>SUMIF(BTS_매출관리!C:C,B200,BTS_매출관리!I:I)</f>
        <v>0</v>
      </c>
      <c r="D200">
        <f t="shared" si="3"/>
        <v>18</v>
      </c>
    </row>
    <row r="201" spans="3:4" x14ac:dyDescent="0.3">
      <c r="C201" s="52">
        <f>SUMIF(BTS_매출관리!C:C,B201,BTS_매출관리!I:I)</f>
        <v>0</v>
      </c>
      <c r="D201">
        <f t="shared" si="3"/>
        <v>18</v>
      </c>
    </row>
    <row r="202" spans="3:4" x14ac:dyDescent="0.3">
      <c r="C202" s="52">
        <f>SUMIF(BTS_매출관리!C:C,B202,BTS_매출관리!I:I)</f>
        <v>0</v>
      </c>
      <c r="D202">
        <f t="shared" si="3"/>
        <v>18</v>
      </c>
    </row>
    <row r="203" spans="3:4" x14ac:dyDescent="0.3">
      <c r="C203" s="52">
        <f>SUMIF(BTS_매출관리!C:C,B203,BTS_매출관리!I:I)</f>
        <v>0</v>
      </c>
      <c r="D203">
        <f t="shared" si="3"/>
        <v>18</v>
      </c>
    </row>
    <row r="204" spans="3:4" x14ac:dyDescent="0.3">
      <c r="C204" s="52">
        <f>SUMIF(BTS_매출관리!C:C,B204,BTS_매출관리!I:I)</f>
        <v>0</v>
      </c>
      <c r="D204">
        <f t="shared" si="3"/>
        <v>18</v>
      </c>
    </row>
    <row r="205" spans="3:4" x14ac:dyDescent="0.3">
      <c r="C205" s="52">
        <f>SUMIF(BTS_매출관리!C:C,B205,BTS_매출관리!I:I)</f>
        <v>0</v>
      </c>
      <c r="D205">
        <f t="shared" si="3"/>
        <v>18</v>
      </c>
    </row>
    <row r="206" spans="3:4" x14ac:dyDescent="0.3">
      <c r="C206" s="52">
        <f>SUMIF(BTS_매출관리!C:C,B206,BTS_매출관리!I:I)</f>
        <v>0</v>
      </c>
      <c r="D206">
        <f t="shared" si="3"/>
        <v>18</v>
      </c>
    </row>
    <row r="207" spans="3:4" x14ac:dyDescent="0.3">
      <c r="C207" s="52">
        <f>SUMIF(BTS_매출관리!C:C,B207,BTS_매출관리!I:I)</f>
        <v>0</v>
      </c>
      <c r="D207">
        <f t="shared" si="3"/>
        <v>18</v>
      </c>
    </row>
    <row r="208" spans="3:4" x14ac:dyDescent="0.3">
      <c r="C208" s="52">
        <f>SUMIF(BTS_매출관리!C:C,B208,BTS_매출관리!I:I)</f>
        <v>0</v>
      </c>
      <c r="D208">
        <f t="shared" si="3"/>
        <v>18</v>
      </c>
    </row>
    <row r="209" spans="3:4" x14ac:dyDescent="0.3">
      <c r="C209" s="52">
        <f>SUMIF(BTS_매출관리!C:C,B209,BTS_매출관리!I:I)</f>
        <v>0</v>
      </c>
      <c r="D209">
        <f t="shared" si="3"/>
        <v>18</v>
      </c>
    </row>
    <row r="210" spans="3:4" x14ac:dyDescent="0.3">
      <c r="C210" s="52">
        <f>SUMIF(BTS_매출관리!C:C,B210,BTS_매출관리!I:I)</f>
        <v>0</v>
      </c>
      <c r="D210">
        <f t="shared" si="3"/>
        <v>18</v>
      </c>
    </row>
    <row r="211" spans="3:4" x14ac:dyDescent="0.3">
      <c r="C211" s="52">
        <f>SUMIF(BTS_매출관리!C:C,B211,BTS_매출관리!I:I)</f>
        <v>0</v>
      </c>
      <c r="D211">
        <f t="shared" si="3"/>
        <v>18</v>
      </c>
    </row>
    <row r="212" spans="3:4" x14ac:dyDescent="0.3">
      <c r="C212" s="52">
        <f>SUMIF(BTS_매출관리!C:C,B212,BTS_매출관리!I:I)</f>
        <v>0</v>
      </c>
      <c r="D212">
        <f t="shared" si="3"/>
        <v>18</v>
      </c>
    </row>
    <row r="213" spans="3:4" x14ac:dyDescent="0.3">
      <c r="C213" s="52">
        <f>SUMIF(BTS_매출관리!C:C,B213,BTS_매출관리!I:I)</f>
        <v>0</v>
      </c>
      <c r="D213">
        <f t="shared" si="3"/>
        <v>18</v>
      </c>
    </row>
    <row r="214" spans="3:4" x14ac:dyDescent="0.3">
      <c r="C214" s="52">
        <f>SUMIF(BTS_매출관리!C:C,B214,BTS_매출관리!I:I)</f>
        <v>0</v>
      </c>
      <c r="D214">
        <f t="shared" si="3"/>
        <v>18</v>
      </c>
    </row>
    <row r="215" spans="3:4" x14ac:dyDescent="0.3">
      <c r="C215" s="52">
        <f>SUMIF(BTS_매출관리!C:C,B215,BTS_매출관리!I:I)</f>
        <v>0</v>
      </c>
      <c r="D215">
        <f t="shared" si="3"/>
        <v>18</v>
      </c>
    </row>
    <row r="216" spans="3:4" x14ac:dyDescent="0.3">
      <c r="C216" s="52">
        <f>SUMIF(BTS_매출관리!C:C,B216,BTS_매출관리!I:I)</f>
        <v>0</v>
      </c>
      <c r="D216">
        <f t="shared" si="3"/>
        <v>18</v>
      </c>
    </row>
    <row r="217" spans="3:4" x14ac:dyDescent="0.3">
      <c r="C217" s="52">
        <f>SUMIF(BTS_매출관리!C:C,B217,BTS_매출관리!I:I)</f>
        <v>0</v>
      </c>
      <c r="D217">
        <f t="shared" si="3"/>
        <v>18</v>
      </c>
    </row>
    <row r="218" spans="3:4" x14ac:dyDescent="0.3">
      <c r="C218" s="52">
        <f>SUMIF(BTS_매출관리!C:C,B218,BTS_매출관리!I:I)</f>
        <v>0</v>
      </c>
      <c r="D218">
        <f t="shared" si="3"/>
        <v>18</v>
      </c>
    </row>
    <row r="219" spans="3:4" x14ac:dyDescent="0.3">
      <c r="C219" s="52">
        <f>SUMIF(BTS_매출관리!C:C,B219,BTS_매출관리!I:I)</f>
        <v>0</v>
      </c>
      <c r="D219">
        <f t="shared" si="3"/>
        <v>18</v>
      </c>
    </row>
    <row r="220" spans="3:4" x14ac:dyDescent="0.3">
      <c r="C220" s="52">
        <f>SUMIF(BTS_매출관리!C:C,B220,BTS_매출관리!I:I)</f>
        <v>0</v>
      </c>
      <c r="D220">
        <f t="shared" si="3"/>
        <v>18</v>
      </c>
    </row>
    <row r="221" spans="3:4" x14ac:dyDescent="0.3">
      <c r="C221" s="52">
        <f>SUMIF(BTS_매출관리!C:C,B221,BTS_매출관리!I:I)</f>
        <v>0</v>
      </c>
      <c r="D221">
        <f t="shared" si="3"/>
        <v>18</v>
      </c>
    </row>
    <row r="222" spans="3:4" x14ac:dyDescent="0.3">
      <c r="C222" s="52">
        <f>SUMIF(BTS_매출관리!C:C,B222,BTS_매출관리!I:I)</f>
        <v>0</v>
      </c>
      <c r="D222">
        <f t="shared" si="3"/>
        <v>18</v>
      </c>
    </row>
    <row r="223" spans="3:4" x14ac:dyDescent="0.3">
      <c r="C223" s="52">
        <f>SUMIF(BTS_매출관리!C:C,B223,BTS_매출관리!I:I)</f>
        <v>0</v>
      </c>
      <c r="D223">
        <f t="shared" si="3"/>
        <v>18</v>
      </c>
    </row>
    <row r="224" spans="3:4" x14ac:dyDescent="0.3">
      <c r="C224" s="52">
        <f>SUMIF(BTS_매출관리!C:C,B224,BTS_매출관리!I:I)</f>
        <v>0</v>
      </c>
      <c r="D224">
        <f t="shared" si="3"/>
        <v>18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10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1535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5049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5050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5051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5052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5053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5056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5058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5059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5060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5062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5064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5067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5068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5072</v>
      </c>
    </row>
    <row r="1510" spans="1:4" x14ac:dyDescent="0.3">
      <c r="A1510">
        <v>1534</v>
      </c>
      <c r="B1510" s="13">
        <v>46059</v>
      </c>
      <c r="C1510" t="s">
        <v>5069</v>
      </c>
      <c r="D1510" t="s">
        <v>5079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8" activePane="bottomRight" state="frozen"/>
      <selection activeCell="N26" sqref="N26"/>
      <selection pane="topRight" activeCell="N26" sqref="N26"/>
      <selection pane="bottomLeft" activeCell="N26" sqref="N26"/>
      <selection pane="bottomRight" activeCell="C216" sqref="C21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221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200000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1000000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710000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4250000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50000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920000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5069</v>
      </c>
      <c r="C219" t="s">
        <v>5070</v>
      </c>
      <c r="E219" t="s">
        <v>5071</v>
      </c>
      <c r="F219" t="s">
        <v>1176</v>
      </c>
      <c r="G219" t="s">
        <v>5071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-33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-28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-79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-79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5057</v>
      </c>
      <c r="D289" s="288" t="s">
        <v>1841</v>
      </c>
      <c r="E289" s="288" t="s">
        <v>5057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2026-02-06T08:42:21Z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